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Team 3/10. HAZZYS/FW26/0. PO/Men/"/>
    </mc:Choice>
  </mc:AlternateContent>
  <xr:revisionPtr revIDLastSave="1" documentId="11_8D6AE0204DA1BCB3B8C2199D2F9E50BBD4AAC923" xr6:coauthVersionLast="47" xr6:coauthVersionMax="47" xr10:uidLastSave="{912E24D8-C855-4461-B56F-10A3CFCA1D4F}"/>
  <bookViews>
    <workbookView xWindow="-120" yWindow="-120" windowWidth="20730" windowHeight="11160" xr2:uid="{00000000-000D-0000-FFFF-FFFF00000000}"/>
  </bookViews>
  <sheets>
    <sheet name="HZ" sheetId="1" r:id="rId1"/>
  </sheets>
  <definedNames>
    <definedName name="_xlnm.Print_Area" localSheetId="0">HZ!$C$2:$AH$105</definedName>
    <definedName name="_xlnm.Print_Titles" localSheetId="0">HZ!$4:$5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Z104" i="1"/>
  <c r="U104" i="1"/>
  <c r="P104" i="1"/>
  <c r="I104" i="1"/>
  <c r="H104" i="1" s="1"/>
  <c r="Z103" i="1"/>
  <c r="U103" i="1"/>
  <c r="P103" i="1"/>
  <c r="I103" i="1"/>
  <c r="AE102" i="1"/>
  <c r="AD102" i="1"/>
  <c r="AC102" i="1"/>
  <c r="AB102" i="1"/>
  <c r="AA102" i="1"/>
  <c r="Y102" i="1"/>
  <c r="X102" i="1"/>
  <c r="W102" i="1"/>
  <c r="V102" i="1"/>
  <c r="T102" i="1"/>
  <c r="S102" i="1"/>
  <c r="R102" i="1"/>
  <c r="Q102" i="1"/>
  <c r="O102" i="1"/>
  <c r="N102" i="1"/>
  <c r="M102" i="1"/>
  <c r="L102" i="1"/>
  <c r="K102" i="1"/>
  <c r="J102" i="1"/>
  <c r="Z101" i="1"/>
  <c r="U101" i="1"/>
  <c r="P101" i="1"/>
  <c r="I101" i="1"/>
  <c r="Z100" i="1"/>
  <c r="U100" i="1"/>
  <c r="P100" i="1"/>
  <c r="I100" i="1"/>
  <c r="AE99" i="1"/>
  <c r="AD99" i="1"/>
  <c r="AC99" i="1"/>
  <c r="AB99" i="1"/>
  <c r="AA99" i="1"/>
  <c r="Y99" i="1"/>
  <c r="X99" i="1"/>
  <c r="W99" i="1"/>
  <c r="V99" i="1"/>
  <c r="T99" i="1"/>
  <c r="S99" i="1"/>
  <c r="R99" i="1"/>
  <c r="Q99" i="1"/>
  <c r="O99" i="1"/>
  <c r="N99" i="1"/>
  <c r="M99" i="1"/>
  <c r="L99" i="1"/>
  <c r="K99" i="1"/>
  <c r="J99" i="1"/>
  <c r="Z98" i="1"/>
  <c r="U98" i="1"/>
  <c r="P98" i="1"/>
  <c r="I98" i="1"/>
  <c r="AE97" i="1"/>
  <c r="AD97" i="1"/>
  <c r="AC97" i="1"/>
  <c r="AB97" i="1"/>
  <c r="AA97" i="1"/>
  <c r="Y97" i="1"/>
  <c r="X97" i="1"/>
  <c r="W97" i="1"/>
  <c r="V97" i="1"/>
  <c r="T97" i="1"/>
  <c r="S97" i="1"/>
  <c r="R97" i="1"/>
  <c r="Q97" i="1"/>
  <c r="O97" i="1"/>
  <c r="N97" i="1"/>
  <c r="M97" i="1"/>
  <c r="L97" i="1"/>
  <c r="K97" i="1"/>
  <c r="J97" i="1"/>
  <c r="Z96" i="1"/>
  <c r="U96" i="1"/>
  <c r="P96" i="1"/>
  <c r="I96" i="1"/>
  <c r="Z95" i="1"/>
  <c r="U95" i="1"/>
  <c r="P95" i="1"/>
  <c r="I95" i="1"/>
  <c r="Z94" i="1"/>
  <c r="U94" i="1"/>
  <c r="P94" i="1"/>
  <c r="I94" i="1"/>
  <c r="Z93" i="1"/>
  <c r="U93" i="1"/>
  <c r="P93" i="1"/>
  <c r="I93" i="1"/>
  <c r="Z92" i="1"/>
  <c r="U92" i="1"/>
  <c r="P92" i="1"/>
  <c r="I92" i="1"/>
  <c r="Z91" i="1"/>
  <c r="U91" i="1"/>
  <c r="P91" i="1"/>
  <c r="I91" i="1"/>
  <c r="Z90" i="1"/>
  <c r="U90" i="1"/>
  <c r="P90" i="1"/>
  <c r="I90" i="1"/>
  <c r="Z89" i="1"/>
  <c r="U89" i="1"/>
  <c r="P89" i="1"/>
  <c r="I89" i="1"/>
  <c r="AE88" i="1"/>
  <c r="AD88" i="1"/>
  <c r="AC88" i="1"/>
  <c r="AB88" i="1"/>
  <c r="AA88" i="1"/>
  <c r="Y88" i="1"/>
  <c r="X88" i="1"/>
  <c r="W88" i="1"/>
  <c r="V88" i="1"/>
  <c r="T88" i="1"/>
  <c r="S88" i="1"/>
  <c r="R88" i="1"/>
  <c r="Q88" i="1"/>
  <c r="O88" i="1"/>
  <c r="N88" i="1"/>
  <c r="M88" i="1"/>
  <c r="L88" i="1"/>
  <c r="K88" i="1"/>
  <c r="J88" i="1"/>
  <c r="Z87" i="1"/>
  <c r="U87" i="1"/>
  <c r="P87" i="1"/>
  <c r="I87" i="1"/>
  <c r="Z86" i="1"/>
  <c r="U86" i="1"/>
  <c r="P86" i="1"/>
  <c r="I86" i="1"/>
  <c r="Z85" i="1"/>
  <c r="U85" i="1"/>
  <c r="P85" i="1"/>
  <c r="I85" i="1"/>
  <c r="AE84" i="1"/>
  <c r="AD84" i="1"/>
  <c r="AC84" i="1"/>
  <c r="AB84" i="1"/>
  <c r="AA84" i="1"/>
  <c r="Y84" i="1"/>
  <c r="X84" i="1"/>
  <c r="W84" i="1"/>
  <c r="V84" i="1"/>
  <c r="T84" i="1"/>
  <c r="S84" i="1"/>
  <c r="R84" i="1"/>
  <c r="Q84" i="1"/>
  <c r="O84" i="1"/>
  <c r="N84" i="1"/>
  <c r="M84" i="1"/>
  <c r="L84" i="1"/>
  <c r="K84" i="1"/>
  <c r="J84" i="1"/>
  <c r="Z83" i="1"/>
  <c r="U83" i="1"/>
  <c r="P83" i="1"/>
  <c r="I83" i="1"/>
  <c r="Z82" i="1"/>
  <c r="U82" i="1"/>
  <c r="P82" i="1"/>
  <c r="I82" i="1"/>
  <c r="Z81" i="1"/>
  <c r="U81" i="1"/>
  <c r="P81" i="1"/>
  <c r="I81" i="1"/>
  <c r="Z80" i="1"/>
  <c r="U80" i="1"/>
  <c r="P80" i="1"/>
  <c r="I80" i="1"/>
  <c r="AE79" i="1"/>
  <c r="AD79" i="1"/>
  <c r="AC79" i="1"/>
  <c r="AB79" i="1"/>
  <c r="AA79" i="1"/>
  <c r="Y79" i="1"/>
  <c r="X79" i="1"/>
  <c r="W79" i="1"/>
  <c r="V79" i="1"/>
  <c r="T79" i="1"/>
  <c r="S79" i="1"/>
  <c r="R79" i="1"/>
  <c r="Q79" i="1"/>
  <c r="O79" i="1"/>
  <c r="N79" i="1"/>
  <c r="M79" i="1"/>
  <c r="L79" i="1"/>
  <c r="K79" i="1"/>
  <c r="J79" i="1"/>
  <c r="Z78" i="1"/>
  <c r="U78" i="1"/>
  <c r="P78" i="1"/>
  <c r="I78" i="1"/>
  <c r="Z77" i="1"/>
  <c r="U77" i="1"/>
  <c r="P77" i="1"/>
  <c r="I77" i="1"/>
  <c r="Z76" i="1"/>
  <c r="U76" i="1"/>
  <c r="P76" i="1"/>
  <c r="I76" i="1"/>
  <c r="AE75" i="1"/>
  <c r="AD75" i="1"/>
  <c r="AC75" i="1"/>
  <c r="AB75" i="1"/>
  <c r="AA75" i="1"/>
  <c r="Y75" i="1"/>
  <c r="X75" i="1"/>
  <c r="W75" i="1"/>
  <c r="V75" i="1"/>
  <c r="T75" i="1"/>
  <c r="S75" i="1"/>
  <c r="R75" i="1"/>
  <c r="Q75" i="1"/>
  <c r="O75" i="1"/>
  <c r="N75" i="1"/>
  <c r="M75" i="1"/>
  <c r="L75" i="1"/>
  <c r="K75" i="1"/>
  <c r="J75" i="1"/>
  <c r="Z74" i="1"/>
  <c r="U74" i="1"/>
  <c r="P74" i="1"/>
  <c r="I74" i="1"/>
  <c r="Z73" i="1"/>
  <c r="U73" i="1"/>
  <c r="P73" i="1"/>
  <c r="I73" i="1"/>
  <c r="Z72" i="1"/>
  <c r="U72" i="1"/>
  <c r="P72" i="1"/>
  <c r="I72" i="1"/>
  <c r="AE71" i="1"/>
  <c r="AD71" i="1"/>
  <c r="AC71" i="1"/>
  <c r="AB71" i="1"/>
  <c r="AA71" i="1"/>
  <c r="Y71" i="1"/>
  <c r="X71" i="1"/>
  <c r="W71" i="1"/>
  <c r="V71" i="1"/>
  <c r="T71" i="1"/>
  <c r="S71" i="1"/>
  <c r="R71" i="1"/>
  <c r="Q71" i="1"/>
  <c r="O71" i="1"/>
  <c r="N71" i="1"/>
  <c r="M71" i="1"/>
  <c r="L71" i="1"/>
  <c r="K71" i="1"/>
  <c r="J71" i="1"/>
  <c r="Z70" i="1"/>
  <c r="U70" i="1"/>
  <c r="P70" i="1"/>
  <c r="I70" i="1"/>
  <c r="Z69" i="1"/>
  <c r="U69" i="1"/>
  <c r="P69" i="1"/>
  <c r="I69" i="1"/>
  <c r="I68" i="1"/>
  <c r="Z67" i="1"/>
  <c r="U67" i="1"/>
  <c r="P67" i="1"/>
  <c r="I67" i="1"/>
  <c r="AE66" i="1"/>
  <c r="AD66" i="1"/>
  <c r="AC66" i="1"/>
  <c r="AB66" i="1"/>
  <c r="X66" i="1"/>
  <c r="W66" i="1"/>
  <c r="V66" i="1"/>
  <c r="O66" i="1"/>
  <c r="N66" i="1"/>
  <c r="M66" i="1"/>
  <c r="L66" i="1"/>
  <c r="K66" i="1"/>
  <c r="Z65" i="1"/>
  <c r="U65" i="1"/>
  <c r="I65" i="1"/>
  <c r="Z64" i="1"/>
  <c r="U64" i="1"/>
  <c r="I64" i="1"/>
  <c r="I63" i="1"/>
  <c r="H63" i="1" s="1"/>
  <c r="Z62" i="1"/>
  <c r="U62" i="1"/>
  <c r="I62" i="1"/>
  <c r="AE61" i="1"/>
  <c r="AD61" i="1"/>
  <c r="AC61" i="1"/>
  <c r="AB61" i="1"/>
  <c r="X61" i="1"/>
  <c r="W61" i="1"/>
  <c r="V61" i="1"/>
  <c r="T61" i="1"/>
  <c r="S61" i="1"/>
  <c r="O61" i="1"/>
  <c r="N61" i="1"/>
  <c r="M61" i="1"/>
  <c r="L61" i="1"/>
  <c r="K61" i="1"/>
  <c r="Z60" i="1"/>
  <c r="U60" i="1"/>
  <c r="P60" i="1"/>
  <c r="I60" i="1"/>
  <c r="I58" i="1" s="1"/>
  <c r="Z59" i="1"/>
  <c r="U59" i="1"/>
  <c r="P59" i="1"/>
  <c r="I59" i="1"/>
  <c r="AE58" i="1"/>
  <c r="AD58" i="1"/>
  <c r="AC58" i="1"/>
  <c r="AB58" i="1"/>
  <c r="X58" i="1"/>
  <c r="W58" i="1"/>
  <c r="V58" i="1"/>
  <c r="T58" i="1"/>
  <c r="S58" i="1"/>
  <c r="R58" i="1"/>
  <c r="Q58" i="1"/>
  <c r="O58" i="1"/>
  <c r="N58" i="1"/>
  <c r="M58" i="1"/>
  <c r="L58" i="1"/>
  <c r="K58" i="1"/>
  <c r="Z57" i="1"/>
  <c r="U57" i="1"/>
  <c r="P57" i="1"/>
  <c r="I57" i="1"/>
  <c r="Z56" i="1"/>
  <c r="U56" i="1"/>
  <c r="P56" i="1"/>
  <c r="I56" i="1"/>
  <c r="Z55" i="1"/>
  <c r="U55" i="1"/>
  <c r="P55" i="1"/>
  <c r="I55" i="1"/>
  <c r="AE54" i="1"/>
  <c r="AD54" i="1"/>
  <c r="AC54" i="1"/>
  <c r="AB54" i="1"/>
  <c r="X54" i="1"/>
  <c r="W54" i="1"/>
  <c r="V54" i="1"/>
  <c r="T54" i="1"/>
  <c r="S54" i="1"/>
  <c r="R54" i="1"/>
  <c r="Q54" i="1"/>
  <c r="O54" i="1"/>
  <c r="N54" i="1"/>
  <c r="M54" i="1"/>
  <c r="L54" i="1"/>
  <c r="K54" i="1"/>
  <c r="Z53" i="1"/>
  <c r="U53" i="1"/>
  <c r="P53" i="1"/>
  <c r="I53" i="1"/>
  <c r="Z52" i="1"/>
  <c r="U52" i="1"/>
  <c r="P52" i="1"/>
  <c r="I52" i="1"/>
  <c r="Z51" i="1"/>
  <c r="U51" i="1"/>
  <c r="P51" i="1"/>
  <c r="I51" i="1"/>
  <c r="AE50" i="1"/>
  <c r="AD50" i="1"/>
  <c r="AC50" i="1"/>
  <c r="AB50" i="1"/>
  <c r="X50" i="1"/>
  <c r="W50" i="1"/>
  <c r="V50" i="1"/>
  <c r="T50" i="1"/>
  <c r="S50" i="1"/>
  <c r="R50" i="1"/>
  <c r="Q50" i="1"/>
  <c r="O50" i="1"/>
  <c r="N50" i="1"/>
  <c r="M50" i="1"/>
  <c r="L50" i="1"/>
  <c r="K50" i="1"/>
  <c r="Z23" i="1"/>
  <c r="U23" i="1"/>
  <c r="P23" i="1"/>
  <c r="I23" i="1"/>
  <c r="Z22" i="1"/>
  <c r="U22" i="1"/>
  <c r="P22" i="1"/>
  <c r="I22" i="1"/>
  <c r="AE21" i="1"/>
  <c r="AD21" i="1"/>
  <c r="AC21" i="1"/>
  <c r="AB21" i="1"/>
  <c r="X21" i="1"/>
  <c r="W21" i="1"/>
  <c r="V21" i="1"/>
  <c r="T21" i="1"/>
  <c r="S21" i="1"/>
  <c r="R21" i="1"/>
  <c r="Q21" i="1"/>
  <c r="O21" i="1"/>
  <c r="N21" i="1"/>
  <c r="M21" i="1"/>
  <c r="L21" i="1"/>
  <c r="K21" i="1"/>
  <c r="I20" i="1"/>
  <c r="H20" i="1" s="1"/>
  <c r="I19" i="1"/>
  <c r="H19" i="1" s="1"/>
  <c r="O18" i="1"/>
  <c r="N18" i="1"/>
  <c r="M18" i="1"/>
  <c r="L18" i="1"/>
  <c r="K18" i="1"/>
  <c r="Z17" i="1"/>
  <c r="U17" i="1"/>
  <c r="P17" i="1"/>
  <c r="I17" i="1"/>
  <c r="Z16" i="1"/>
  <c r="U16" i="1"/>
  <c r="P16" i="1"/>
  <c r="I16" i="1"/>
  <c r="AE15" i="1"/>
  <c r="AD15" i="1"/>
  <c r="AC15" i="1"/>
  <c r="AB15" i="1"/>
  <c r="X15" i="1"/>
  <c r="W15" i="1"/>
  <c r="V15" i="1"/>
  <c r="T15" i="1"/>
  <c r="S15" i="1"/>
  <c r="R15" i="1"/>
  <c r="Q15" i="1"/>
  <c r="O15" i="1"/>
  <c r="N15" i="1"/>
  <c r="M15" i="1"/>
  <c r="L15" i="1"/>
  <c r="K15" i="1"/>
  <c r="Z14" i="1"/>
  <c r="U14" i="1"/>
  <c r="P14" i="1"/>
  <c r="I14" i="1"/>
  <c r="Z13" i="1"/>
  <c r="U13" i="1"/>
  <c r="P13" i="1"/>
  <c r="I13" i="1"/>
  <c r="Z12" i="1"/>
  <c r="U12" i="1"/>
  <c r="P12" i="1"/>
  <c r="I12" i="1"/>
  <c r="AE11" i="1"/>
  <c r="AD11" i="1"/>
  <c r="AC11" i="1"/>
  <c r="AB11" i="1"/>
  <c r="X11" i="1"/>
  <c r="W11" i="1"/>
  <c r="V11" i="1"/>
  <c r="T11" i="1"/>
  <c r="S11" i="1"/>
  <c r="R11" i="1"/>
  <c r="Q11" i="1"/>
  <c r="O11" i="1"/>
  <c r="N11" i="1"/>
  <c r="M11" i="1"/>
  <c r="L11" i="1"/>
  <c r="K11" i="1"/>
  <c r="Z10" i="1"/>
  <c r="U10" i="1"/>
  <c r="P10" i="1"/>
  <c r="I10" i="1"/>
  <c r="Z9" i="1"/>
  <c r="U9" i="1"/>
  <c r="P9" i="1"/>
  <c r="I9" i="1"/>
  <c r="Z8" i="1"/>
  <c r="U8" i="1"/>
  <c r="P8" i="1"/>
  <c r="I8" i="1"/>
  <c r="Z7" i="1"/>
  <c r="U7" i="1"/>
  <c r="P7" i="1"/>
  <c r="I7" i="1"/>
  <c r="AE6" i="1"/>
  <c r="AD6" i="1"/>
  <c r="AC6" i="1"/>
  <c r="AB6" i="1"/>
  <c r="X6" i="1"/>
  <c r="W6" i="1"/>
  <c r="V6" i="1"/>
  <c r="T6" i="1"/>
  <c r="S6" i="1"/>
  <c r="R6" i="1"/>
  <c r="Q6" i="1"/>
  <c r="O6" i="1"/>
  <c r="N6" i="1"/>
  <c r="M6" i="1"/>
  <c r="L6" i="1"/>
  <c r="K6" i="1"/>
  <c r="U66" i="1" l="1"/>
  <c r="P6" i="1"/>
  <c r="U21" i="1"/>
  <c r="H93" i="1"/>
  <c r="Z21" i="1"/>
  <c r="P54" i="1"/>
  <c r="I21" i="1"/>
  <c r="U99" i="1"/>
  <c r="H23" i="1"/>
  <c r="Z50" i="1"/>
  <c r="H52" i="1"/>
  <c r="P58" i="1"/>
  <c r="H73" i="1"/>
  <c r="H92" i="1"/>
  <c r="Z11" i="1"/>
  <c r="Z15" i="1"/>
  <c r="H76" i="1"/>
  <c r="P99" i="1"/>
  <c r="H8" i="1"/>
  <c r="Z61" i="1"/>
  <c r="H65" i="1"/>
  <c r="P102" i="1"/>
  <c r="H83" i="1"/>
  <c r="I102" i="1"/>
  <c r="U54" i="1"/>
  <c r="I54" i="1"/>
  <c r="H57" i="1"/>
  <c r="P75" i="1"/>
  <c r="H77" i="1"/>
  <c r="Z88" i="1"/>
  <c r="H98" i="1"/>
  <c r="I18" i="1"/>
  <c r="H18" i="1" s="1"/>
  <c r="U50" i="1"/>
  <c r="U79" i="1"/>
  <c r="U102" i="1"/>
  <c r="H95" i="1"/>
  <c r="I15" i="1"/>
  <c r="Z58" i="1"/>
  <c r="I71" i="1"/>
  <c r="I75" i="1"/>
  <c r="Z84" i="1"/>
  <c r="H22" i="1"/>
  <c r="H64" i="1"/>
  <c r="U71" i="1"/>
  <c r="U75" i="1"/>
  <c r="H94" i="1"/>
  <c r="Z71" i="1"/>
  <c r="P79" i="1"/>
  <c r="I97" i="1"/>
  <c r="U11" i="1"/>
  <c r="H14" i="1"/>
  <c r="H53" i="1"/>
  <c r="I66" i="1"/>
  <c r="H74" i="1"/>
  <c r="Z75" i="1"/>
  <c r="H81" i="1"/>
  <c r="U84" i="1"/>
  <c r="H87" i="1"/>
  <c r="P88" i="1"/>
  <c r="H62" i="1"/>
  <c r="H61" i="1" s="1"/>
  <c r="Z102" i="1"/>
  <c r="U6" i="1"/>
  <c r="H17" i="1"/>
  <c r="I79" i="1"/>
  <c r="H10" i="1"/>
  <c r="U61" i="1"/>
  <c r="H69" i="1"/>
  <c r="H82" i="1"/>
  <c r="I88" i="1"/>
  <c r="H13" i="1"/>
  <c r="U15" i="1"/>
  <c r="U58" i="1"/>
  <c r="H67" i="1"/>
  <c r="H72" i="1"/>
  <c r="H78" i="1"/>
  <c r="I84" i="1"/>
  <c r="P84" i="1"/>
  <c r="H86" i="1"/>
  <c r="U97" i="1"/>
  <c r="Z99" i="1"/>
  <c r="H100" i="1"/>
  <c r="H70" i="1"/>
  <c r="H90" i="1"/>
  <c r="P97" i="1"/>
  <c r="Z97" i="1"/>
  <c r="H101" i="1"/>
  <c r="H103" i="1"/>
  <c r="H85" i="1"/>
  <c r="Z6" i="1"/>
  <c r="P15" i="1"/>
  <c r="H7" i="1"/>
  <c r="H9" i="1"/>
  <c r="I11" i="1"/>
  <c r="H51" i="1"/>
  <c r="Z54" i="1"/>
  <c r="H60" i="1"/>
  <c r="Z66" i="1"/>
  <c r="P71" i="1"/>
  <c r="Z79" i="1"/>
  <c r="H80" i="1"/>
  <c r="H89" i="1"/>
  <c r="H91" i="1"/>
  <c r="I99" i="1"/>
  <c r="I6" i="1"/>
  <c r="P11" i="1"/>
  <c r="P50" i="1"/>
  <c r="H16" i="1"/>
  <c r="H56" i="1"/>
  <c r="H59" i="1"/>
  <c r="I50" i="1"/>
  <c r="H68" i="1"/>
  <c r="H96" i="1"/>
  <c r="H12" i="1"/>
  <c r="H55" i="1"/>
  <c r="I61" i="1"/>
  <c r="U88" i="1"/>
  <c r="P21" i="1"/>
  <c r="H58" i="1" l="1"/>
  <c r="H15" i="1"/>
  <c r="H71" i="1"/>
  <c r="H54" i="1"/>
  <c r="H75" i="1"/>
  <c r="H99" i="1"/>
  <c r="H66" i="1"/>
  <c r="H6" i="1"/>
  <c r="H84" i="1"/>
  <c r="H88" i="1"/>
  <c r="H102" i="1"/>
  <c r="H97" i="1"/>
  <c r="H79" i="1"/>
  <c r="H46" i="1"/>
  <c r="H50" i="1"/>
  <c r="H11" i="1"/>
  <c r="H21" i="1"/>
  <c r="H105" i="1" l="1"/>
</calcChain>
</file>

<file path=xl/sharedStrings.xml><?xml version="1.0" encoding="utf-8"?>
<sst xmlns="http://schemas.openxmlformats.org/spreadsheetml/2006/main" count="245" uniqueCount="110">
  <si>
    <t>26SS buying for Tessellation</t>
    <phoneticPr fontId="2" type="noConversion"/>
  </si>
  <si>
    <t>DS</t>
    <phoneticPr fontId="2" type="noConversion"/>
  </si>
  <si>
    <t>발주</t>
    <phoneticPr fontId="2" type="noConversion"/>
  </si>
  <si>
    <t>SMS</t>
    <phoneticPr fontId="2" type="noConversion"/>
  </si>
  <si>
    <t>BULK</t>
    <phoneticPr fontId="2" type="noConversion"/>
  </si>
  <si>
    <t>NO</t>
    <phoneticPr fontId="2" type="noConversion"/>
  </si>
  <si>
    <t>DES. / COLOR CMNT</t>
    <phoneticPr fontId="2" type="noConversion"/>
  </si>
  <si>
    <t>Color
Code</t>
    <phoneticPr fontId="2" type="noConversion"/>
  </si>
  <si>
    <t>TTL</t>
    <phoneticPr fontId="2" type="noConversion"/>
  </si>
  <si>
    <t>KOREA</t>
    <phoneticPr fontId="2" type="noConversion"/>
  </si>
  <si>
    <t>TAIWAN</t>
    <phoneticPr fontId="2" type="noConversion"/>
  </si>
  <si>
    <t>VIETNAM</t>
    <phoneticPr fontId="2" type="noConversion"/>
  </si>
  <si>
    <t>INDIA</t>
    <phoneticPr fontId="2" type="noConversion"/>
  </si>
  <si>
    <t>TARGET</t>
    <phoneticPr fontId="2" type="noConversion"/>
  </si>
  <si>
    <t>RETAIL</t>
    <phoneticPr fontId="2" type="noConversion"/>
  </si>
  <si>
    <t>90
0XS</t>
    <phoneticPr fontId="2" type="noConversion"/>
  </si>
  <si>
    <t>95
00S</t>
    <phoneticPr fontId="2" type="noConversion"/>
  </si>
  <si>
    <t>100
00M</t>
    <phoneticPr fontId="2" type="noConversion"/>
  </si>
  <si>
    <t>105
00L</t>
    <phoneticPr fontId="2" type="noConversion"/>
  </si>
  <si>
    <t>110
0XL</t>
    <phoneticPr fontId="2" type="noConversion"/>
  </si>
  <si>
    <t>115
XXL</t>
    <phoneticPr fontId="2" type="noConversion"/>
  </si>
  <si>
    <t>105
00L</t>
    <phoneticPr fontId="2" type="noConversion"/>
  </si>
  <si>
    <t>100
00M</t>
    <phoneticPr fontId="2" type="noConversion"/>
  </si>
  <si>
    <t>FOB</t>
    <phoneticPr fontId="2" type="noConversion"/>
  </si>
  <si>
    <t>PRICE</t>
    <phoneticPr fontId="2" type="noConversion"/>
  </si>
  <si>
    <t>DELIVERY</t>
    <phoneticPr fontId="2" type="noConversion"/>
  </si>
  <si>
    <t>HZSH6F201</t>
  </si>
  <si>
    <t>01</t>
    <phoneticPr fontId="2" type="noConversion"/>
  </si>
  <si>
    <t>에센셜 옥스포드 셔츠 (선염)</t>
  </si>
  <si>
    <t>TTL</t>
    <phoneticPr fontId="2" type="noConversion"/>
  </si>
  <si>
    <t>WT</t>
  </si>
  <si>
    <t>B2</t>
  </si>
  <si>
    <t>G2</t>
  </si>
  <si>
    <t>K2</t>
  </si>
  <si>
    <t>HZSH6F202</t>
  </si>
  <si>
    <t>01</t>
    <phoneticPr fontId="2" type="noConversion"/>
  </si>
  <si>
    <t>에센셜 옥스포드 셔츠 (후염)</t>
  </si>
  <si>
    <t>N3</t>
  </si>
  <si>
    <t>W2</t>
  </si>
  <si>
    <t>HZSH6C331</t>
  </si>
  <si>
    <t>01</t>
    <phoneticPr fontId="2" type="noConversion"/>
  </si>
  <si>
    <t>코튼 미니체크 셔츠</t>
  </si>
  <si>
    <t>N2</t>
  </si>
  <si>
    <t>STOCK</t>
    <phoneticPr fontId="2" type="noConversion"/>
  </si>
  <si>
    <t>GMT STOCK</t>
    <phoneticPr fontId="2" type="noConversion"/>
  </si>
  <si>
    <t>HZSH6C332</t>
  </si>
  <si>
    <t>코튼 스몰체크 셔츠</t>
  </si>
  <si>
    <t>HZSH6D403</t>
  </si>
  <si>
    <t>테크 캐시 솔리드 셔츠</t>
  </si>
  <si>
    <t>HZSH6D502</t>
  </si>
  <si>
    <t>테크 울 스몰체크 플란넬 셔츠</t>
  </si>
  <si>
    <t>TTL</t>
    <phoneticPr fontId="2" type="noConversion"/>
  </si>
  <si>
    <t>HZSH6D501</t>
  </si>
  <si>
    <t>솔리드 플란넬 셔츠</t>
  </si>
  <si>
    <r>
      <rPr>
        <strike/>
        <sz val="11"/>
        <rFont val="Calibri"/>
        <family val="3"/>
        <charset val="129"/>
        <scheme val="minor"/>
      </rPr>
      <t>G1</t>
    </r>
    <r>
      <rPr>
        <sz val="11"/>
        <rFont val="Calibri"/>
        <family val="3"/>
        <charset val="129"/>
        <scheme val="minor"/>
      </rPr>
      <t xml:space="preserve"> </t>
    </r>
    <r>
      <rPr>
        <b/>
        <sz val="11"/>
        <color rgb="FFFF0000"/>
        <rFont val="Calibri"/>
        <family val="3"/>
        <charset val="129"/>
        <scheme val="minor"/>
      </rPr>
      <t>G2</t>
    </r>
    <phoneticPr fontId="2" type="noConversion"/>
  </si>
  <si>
    <t>G1</t>
  </si>
  <si>
    <t>HZSH6D505</t>
  </si>
  <si>
    <t>[헤일로] 코듀로이 셔츠</t>
  </si>
  <si>
    <t>IV</t>
  </si>
  <si>
    <t>I1</t>
  </si>
  <si>
    <t>Y2</t>
  </si>
  <si>
    <r>
      <rPr>
        <strike/>
        <sz val="11"/>
        <rFont val="Calibri"/>
        <family val="3"/>
        <charset val="129"/>
        <scheme val="minor"/>
      </rPr>
      <t>O3</t>
    </r>
    <r>
      <rPr>
        <sz val="11"/>
        <rFont val="Calibri"/>
        <family val="3"/>
        <charset val="129"/>
        <scheme val="minor"/>
      </rPr>
      <t xml:space="preserve"> </t>
    </r>
    <r>
      <rPr>
        <b/>
        <sz val="11"/>
        <color rgb="FFFF0000"/>
        <rFont val="Calibri"/>
        <family val="3"/>
        <charset val="129"/>
        <scheme val="minor"/>
      </rPr>
      <t>D2</t>
    </r>
    <phoneticPr fontId="2" type="noConversion"/>
  </si>
  <si>
    <t>W3</t>
  </si>
  <si>
    <t>B1</t>
  </si>
  <si>
    <t>발주</t>
    <phoneticPr fontId="2" type="noConversion"/>
  </si>
  <si>
    <t>SMS</t>
    <phoneticPr fontId="2" type="noConversion"/>
  </si>
  <si>
    <t>BULK</t>
    <phoneticPr fontId="2" type="noConversion"/>
  </si>
  <si>
    <t>Color
Code</t>
    <phoneticPr fontId="2" type="noConversion"/>
  </si>
  <si>
    <t>KOREA</t>
    <phoneticPr fontId="2" type="noConversion"/>
  </si>
  <si>
    <t>TAIWAN</t>
    <phoneticPr fontId="2" type="noConversion"/>
  </si>
  <si>
    <t>90
0XS</t>
    <phoneticPr fontId="2" type="noConversion"/>
  </si>
  <si>
    <t>95
00S</t>
    <phoneticPr fontId="2" type="noConversion"/>
  </si>
  <si>
    <t>105
00L</t>
    <phoneticPr fontId="2" type="noConversion"/>
  </si>
  <si>
    <t>105
00L</t>
    <phoneticPr fontId="2" type="noConversion"/>
  </si>
  <si>
    <t>PRICE</t>
    <phoneticPr fontId="2" type="noConversion"/>
  </si>
  <si>
    <t>HZTS6F361</t>
  </si>
  <si>
    <t>투톤 긴팔 크루넥</t>
  </si>
  <si>
    <t>BK</t>
  </si>
  <si>
    <t>HZTS6F363</t>
  </si>
  <si>
    <t>투톤 긴팔 헨리넥</t>
  </si>
  <si>
    <t>I2</t>
  </si>
  <si>
    <t>CG</t>
  </si>
  <si>
    <t>CR</t>
  </si>
  <si>
    <t>HZTS6F362</t>
  </si>
  <si>
    <t>스트라이프 긴팔 크루넥</t>
  </si>
  <si>
    <t>HZTS6F302</t>
  </si>
  <si>
    <t>에센셜 인터락 카라티</t>
  </si>
  <si>
    <t>K3</t>
  </si>
  <si>
    <t>U2</t>
  </si>
  <si>
    <t>STOCK</t>
    <phoneticPr fontId="2" type="noConversion"/>
  </si>
  <si>
    <t>TTL</t>
    <phoneticPr fontId="2" type="noConversion"/>
  </si>
  <si>
    <t>HZTS6D365</t>
  </si>
  <si>
    <t>01</t>
  </si>
  <si>
    <t>[헤일로] 팁배색 맨투맨</t>
  </si>
  <si>
    <t>STOCK</t>
    <phoneticPr fontId="2" type="noConversion"/>
  </si>
  <si>
    <t>TTL</t>
    <phoneticPr fontId="2" type="noConversion"/>
  </si>
  <si>
    <t>GMT STOCK</t>
  </si>
  <si>
    <t>HZTS6D405</t>
  </si>
  <si>
    <t>[헤일로] 야크혼방 와플 쿼터집업</t>
  </si>
  <si>
    <t>TTL</t>
    <phoneticPr fontId="2" type="noConversion"/>
  </si>
  <si>
    <r>
      <rPr>
        <strike/>
        <sz val="11"/>
        <rFont val="Calibri"/>
        <family val="3"/>
        <charset val="129"/>
        <scheme val="minor"/>
      </rPr>
      <t>K2</t>
    </r>
    <r>
      <rPr>
        <sz val="11"/>
        <rFont val="Calibri"/>
        <family val="3"/>
        <charset val="129"/>
        <scheme val="minor"/>
      </rPr>
      <t xml:space="preserve"> </t>
    </r>
    <r>
      <rPr>
        <b/>
        <sz val="11"/>
        <color rgb="FFFF0000"/>
        <rFont val="Calibri"/>
        <family val="3"/>
        <charset val="129"/>
        <scheme val="minor"/>
      </rPr>
      <t>E2</t>
    </r>
    <phoneticPr fontId="2" type="noConversion"/>
  </si>
  <si>
    <t>STOCK</t>
    <phoneticPr fontId="2" type="noConversion"/>
  </si>
  <si>
    <t>HZTS6D431</t>
  </si>
  <si>
    <t>에센셜 피케 카라티</t>
  </si>
  <si>
    <r>
      <rPr>
        <strike/>
        <sz val="11"/>
        <rFont val="Calibri"/>
        <family val="3"/>
        <charset val="129"/>
        <scheme val="minor"/>
      </rPr>
      <t>U2</t>
    </r>
    <r>
      <rPr>
        <sz val="11"/>
        <rFont val="Calibri"/>
        <family val="3"/>
        <charset val="129"/>
        <scheme val="minor"/>
      </rPr>
      <t xml:space="preserve"> </t>
    </r>
    <r>
      <rPr>
        <b/>
        <sz val="11"/>
        <rFont val="Calibri"/>
        <family val="3"/>
        <charset val="129"/>
        <scheme val="minor"/>
      </rPr>
      <t>V1</t>
    </r>
    <phoneticPr fontId="2" type="noConversion"/>
  </si>
  <si>
    <r>
      <rPr>
        <strike/>
        <sz val="11"/>
        <rFont val="Calibri"/>
        <family val="3"/>
        <charset val="129"/>
        <scheme val="minor"/>
      </rPr>
      <t>W3</t>
    </r>
    <r>
      <rPr>
        <sz val="11"/>
        <rFont val="Calibri"/>
        <family val="3"/>
        <charset val="129"/>
        <scheme val="minor"/>
      </rPr>
      <t xml:space="preserve"> </t>
    </r>
    <r>
      <rPr>
        <b/>
        <sz val="11"/>
        <rFont val="Calibri"/>
        <family val="3"/>
        <charset val="129"/>
        <scheme val="minor"/>
      </rPr>
      <t>W2</t>
    </r>
    <phoneticPr fontId="2" type="noConversion"/>
  </si>
  <si>
    <r>
      <rPr>
        <strike/>
        <sz val="11"/>
        <rFont val="Calibri"/>
        <family val="3"/>
        <charset val="129"/>
        <scheme val="minor"/>
      </rPr>
      <t>E3</t>
    </r>
    <r>
      <rPr>
        <sz val="11"/>
        <rFont val="Calibri"/>
        <family val="3"/>
        <charset val="129"/>
        <scheme val="minor"/>
      </rPr>
      <t xml:space="preserve"> </t>
    </r>
    <r>
      <rPr>
        <b/>
        <sz val="11"/>
        <rFont val="Calibri"/>
        <family val="3"/>
        <charset val="129"/>
        <scheme val="minor"/>
      </rPr>
      <t>E2</t>
    </r>
    <phoneticPr fontId="2" type="noConversion"/>
  </si>
  <si>
    <t>STOCK</t>
    <phoneticPr fontId="2" type="noConversion"/>
  </si>
  <si>
    <t>HZTS6D344</t>
  </si>
  <si>
    <t>조직감 패턴 맨투맨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</si>
</sst>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_);[Red]\(\$#,##0.00\)"/>
    <numFmt numFmtId="165" formatCode="m\/d"/>
    <numFmt numFmtId="166" formatCode="&quot;REVISED : &quot;yyyy/mm/dd"/>
    <numFmt numFmtId="167" formatCode="&quot;ISSUED : &quot;yyyy/mm/dd"/>
    <numFmt numFmtId="168" formatCode="&quot;₩&quot;#,##0_);[Red]\(&quot;₩&quot;#,##0\)"/>
  </numFmts>
  <fonts count="11">
    <font>
      <sz val="11"/>
      <color theme="1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24"/>
      <name val="Calibri"/>
      <family val="3"/>
      <charset val="129"/>
      <scheme val="minor"/>
    </font>
    <font>
      <b/>
      <sz val="13"/>
      <name val="Calibri"/>
      <family val="3"/>
      <charset val="129"/>
      <scheme val="minor"/>
    </font>
    <font>
      <b/>
      <sz val="15"/>
      <color rgb="FFFF000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trike/>
      <sz val="1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trike/>
      <sz val="11"/>
      <color rgb="FFFF0000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indexed="64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165" fontId="1" fillId="0" borderId="0" xfId="0" applyNumberFormat="1" applyFont="1">
      <alignment vertical="center"/>
    </xf>
    <xf numFmtId="0" fontId="1" fillId="0" borderId="0" xfId="0" applyFont="1" applyAlignment="1">
      <alignment vertical="center" shrinkToFit="1"/>
    </xf>
    <xf numFmtId="165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0" borderId="0" xfId="0" applyFont="1" applyAlignment="1"/>
    <xf numFmtId="38" fontId="1" fillId="0" borderId="0" xfId="0" applyNumberFormat="1" applyFont="1">
      <alignment vertical="center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/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/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7" fillId="2" borderId="6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7" xfId="0" applyFont="1" applyFill="1" applyBorder="1">
      <alignment vertical="center"/>
    </xf>
    <xf numFmtId="165" fontId="7" fillId="2" borderId="2" xfId="0" applyNumberFormat="1" applyFont="1" applyFill="1" applyBorder="1" applyAlignment="1">
      <alignment horizontal="center" vertical="center" wrapText="1" shrinkToFit="1"/>
    </xf>
    <xf numFmtId="0" fontId="7" fillId="0" borderId="0" xfId="0" applyFont="1">
      <alignment vertical="center"/>
    </xf>
    <xf numFmtId="0" fontId="7" fillId="2" borderId="8" xfId="0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wrapText="1" shrinkToFit="1"/>
    </xf>
    <xf numFmtId="0" fontId="7" fillId="2" borderId="12" xfId="0" applyFont="1" applyFill="1" applyBorder="1" applyAlignment="1">
      <alignment horizontal="center" vertical="center" wrapText="1" shrinkToFit="1"/>
    </xf>
    <xf numFmtId="165" fontId="7" fillId="2" borderId="8" xfId="0" applyNumberFormat="1" applyFont="1" applyFill="1" applyBorder="1" applyAlignment="1">
      <alignment horizontal="center" vertical="center" wrapText="1" shrinkToFit="1"/>
    </xf>
    <xf numFmtId="38" fontId="7" fillId="3" borderId="2" xfId="0" quotePrefix="1" applyNumberFormat="1" applyFont="1" applyFill="1" applyBorder="1" applyAlignment="1">
      <alignment horizontal="center" vertical="center" shrinkToFit="1"/>
    </xf>
    <xf numFmtId="165" fontId="7" fillId="3" borderId="2" xfId="0" quotePrefix="1" applyNumberFormat="1" applyFont="1" applyFill="1" applyBorder="1" applyAlignment="1">
      <alignment horizontal="center" vertical="center" shrinkToFit="1"/>
    </xf>
    <xf numFmtId="38" fontId="7" fillId="3" borderId="2" xfId="0" applyNumberFormat="1" applyFont="1" applyFill="1" applyBorder="1" applyAlignment="1">
      <alignment horizontal="center" vertical="center" shrinkToFit="1"/>
    </xf>
    <xf numFmtId="38" fontId="7" fillId="3" borderId="3" xfId="0" applyNumberFormat="1" applyFont="1" applyFill="1" applyBorder="1" applyAlignment="1">
      <alignment horizontal="right" vertical="center" shrinkToFit="1"/>
    </xf>
    <xf numFmtId="38" fontId="7" fillId="3" borderId="3" xfId="0" applyNumberFormat="1" applyFont="1" applyFill="1" applyBorder="1" applyAlignment="1">
      <alignment horizontal="right" vertical="center"/>
    </xf>
    <xf numFmtId="38" fontId="7" fillId="3" borderId="2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horizontal="right" vertical="center"/>
    </xf>
    <xf numFmtId="168" fontId="1" fillId="3" borderId="3" xfId="0" applyNumberFormat="1" applyFont="1" applyFill="1" applyBorder="1" applyAlignment="1">
      <alignment horizontal="right" vertical="center"/>
    </xf>
    <xf numFmtId="14" fontId="7" fillId="3" borderId="13" xfId="0" applyNumberFormat="1" applyFont="1" applyFill="1" applyBorder="1" applyAlignment="1">
      <alignment horizontal="center" vertical="center" wrapText="1" shrinkToFit="1"/>
    </xf>
    <xf numFmtId="38" fontId="8" fillId="0" borderId="2" xfId="0" applyNumberFormat="1" applyFont="1" applyBorder="1" applyAlignment="1">
      <alignment horizontal="center" vertical="center" shrinkToFit="1"/>
    </xf>
    <xf numFmtId="165" fontId="8" fillId="0" borderId="2" xfId="0" applyNumberFormat="1" applyFont="1" applyBorder="1" applyAlignment="1">
      <alignment horizontal="center" vertical="center" shrinkToFit="1"/>
    </xf>
    <xf numFmtId="38" fontId="1" fillId="0" borderId="2" xfId="0" applyNumberFormat="1" applyFont="1" applyBorder="1" applyAlignment="1">
      <alignment horizontal="left" vertical="center"/>
    </xf>
    <xf numFmtId="38" fontId="1" fillId="0" borderId="2" xfId="0" applyNumberFormat="1" applyFont="1" applyBorder="1" applyAlignment="1">
      <alignment horizontal="center" vertical="center" shrinkToFit="1"/>
    </xf>
    <xf numFmtId="38" fontId="1" fillId="4" borderId="14" xfId="0" applyNumberFormat="1" applyFont="1" applyFill="1" applyBorder="1" applyAlignment="1">
      <alignment horizontal="center" vertical="center" shrinkToFit="1"/>
    </xf>
    <xf numFmtId="38" fontId="1" fillId="4" borderId="15" xfId="0" applyNumberFormat="1" applyFont="1" applyFill="1" applyBorder="1" applyAlignment="1">
      <alignment horizontal="right" vertical="center" shrinkToFit="1"/>
    </xf>
    <xf numFmtId="38" fontId="1" fillId="4" borderId="15" xfId="0" applyNumberFormat="1" applyFont="1" applyFill="1" applyBorder="1" applyAlignment="1">
      <alignment horizontal="right" vertical="center"/>
    </xf>
    <xf numFmtId="38" fontId="1" fillId="0" borderId="15" xfId="0" applyNumberFormat="1" applyFont="1" applyBorder="1" applyAlignment="1">
      <alignment horizontal="right" vertical="center"/>
    </xf>
    <xf numFmtId="38" fontId="1" fillId="0" borderId="14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68" fontId="1" fillId="0" borderId="15" xfId="0" applyNumberFormat="1" applyFont="1" applyBorder="1" applyAlignment="1">
      <alignment horizontal="right" vertical="center"/>
    </xf>
    <xf numFmtId="14" fontId="1" fillId="0" borderId="14" xfId="0" applyNumberFormat="1" applyFont="1" applyBorder="1" applyAlignment="1">
      <alignment horizontal="right" vertical="center" shrinkToFit="1"/>
    </xf>
    <xf numFmtId="38" fontId="8" fillId="0" borderId="16" xfId="0" applyNumberFormat="1" applyFont="1" applyBorder="1" applyAlignment="1">
      <alignment horizontal="center" vertical="center" shrinkToFit="1"/>
    </xf>
    <xf numFmtId="165" fontId="8" fillId="0" borderId="16" xfId="0" applyNumberFormat="1" applyFont="1" applyBorder="1" applyAlignment="1">
      <alignment horizontal="center" vertical="center" shrinkToFit="1"/>
    </xf>
    <xf numFmtId="38" fontId="1" fillId="0" borderId="16" xfId="0" applyNumberFormat="1" applyFont="1" applyBorder="1" applyAlignment="1">
      <alignment horizontal="center" vertical="center" shrinkToFit="1"/>
    </xf>
    <xf numFmtId="38" fontId="1" fillId="4" borderId="17" xfId="0" applyNumberFormat="1" applyFont="1" applyFill="1" applyBorder="1" applyAlignment="1">
      <alignment horizontal="center" vertical="center" shrinkToFit="1"/>
    </xf>
    <xf numFmtId="38" fontId="1" fillId="4" borderId="18" xfId="0" applyNumberFormat="1" applyFont="1" applyFill="1" applyBorder="1" applyAlignment="1">
      <alignment horizontal="right" vertical="center" shrinkToFit="1"/>
    </xf>
    <xf numFmtId="38" fontId="1" fillId="4" borderId="18" xfId="0" applyNumberFormat="1" applyFont="1" applyFill="1" applyBorder="1" applyAlignment="1">
      <alignment horizontal="right" vertical="center"/>
    </xf>
    <xf numFmtId="38" fontId="1" fillId="0" borderId="18" xfId="0" applyNumberFormat="1" applyFont="1" applyBorder="1" applyAlignment="1">
      <alignment horizontal="right" vertical="center"/>
    </xf>
    <xf numFmtId="38" fontId="1" fillId="0" borderId="17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168" fontId="1" fillId="0" borderId="18" xfId="0" applyNumberFormat="1" applyFont="1" applyBorder="1" applyAlignment="1">
      <alignment horizontal="right" vertical="center"/>
    </xf>
    <xf numFmtId="14" fontId="1" fillId="0" borderId="17" xfId="0" applyNumberFormat="1" applyFont="1" applyBorder="1" applyAlignment="1">
      <alignment horizontal="right" vertical="center" shrinkToFit="1"/>
    </xf>
    <xf numFmtId="38" fontId="3" fillId="3" borderId="2" xfId="0" quotePrefix="1" applyNumberFormat="1" applyFont="1" applyFill="1" applyBorder="1" applyAlignment="1">
      <alignment horizontal="center" vertical="center" shrinkToFit="1"/>
    </xf>
    <xf numFmtId="38" fontId="8" fillId="0" borderId="8" xfId="0" applyNumberFormat="1" applyFont="1" applyBorder="1" applyAlignment="1">
      <alignment horizontal="center" vertical="center" shrinkToFit="1"/>
    </xf>
    <xf numFmtId="165" fontId="8" fillId="0" borderId="8" xfId="0" applyNumberFormat="1" applyFont="1" applyBorder="1" applyAlignment="1">
      <alignment horizontal="center" vertical="center" shrinkToFit="1"/>
    </xf>
    <xf numFmtId="38" fontId="1" fillId="0" borderId="8" xfId="0" applyNumberFormat="1" applyFont="1" applyBorder="1" applyAlignment="1">
      <alignment horizontal="center" vertical="center" shrinkToFit="1"/>
    </xf>
    <xf numFmtId="38" fontId="1" fillId="4" borderId="19" xfId="0" applyNumberFormat="1" applyFont="1" applyFill="1" applyBorder="1" applyAlignment="1">
      <alignment horizontal="center" vertical="center" shrinkToFit="1"/>
    </xf>
    <xf numFmtId="38" fontId="1" fillId="4" borderId="20" xfId="0" applyNumberFormat="1" applyFont="1" applyFill="1" applyBorder="1" applyAlignment="1">
      <alignment horizontal="right" vertical="center" shrinkToFit="1"/>
    </xf>
    <xf numFmtId="38" fontId="1" fillId="4" borderId="20" xfId="0" applyNumberFormat="1" applyFont="1" applyFill="1" applyBorder="1" applyAlignment="1">
      <alignment horizontal="right" vertical="center"/>
    </xf>
    <xf numFmtId="38" fontId="1" fillId="0" borderId="20" xfId="0" applyNumberFormat="1" applyFont="1" applyBorder="1" applyAlignment="1">
      <alignment horizontal="right" vertical="center"/>
    </xf>
    <xf numFmtId="38" fontId="1" fillId="0" borderId="19" xfId="0" applyNumberFormat="1" applyFont="1" applyBorder="1" applyAlignment="1">
      <alignment horizontal="right" vertical="center"/>
    </xf>
    <xf numFmtId="164" fontId="1" fillId="0" borderId="19" xfId="0" applyNumberFormat="1" applyFont="1" applyBorder="1" applyAlignment="1">
      <alignment horizontal="right" vertical="center"/>
    </xf>
    <xf numFmtId="168" fontId="1" fillId="0" borderId="20" xfId="0" applyNumberFormat="1" applyFont="1" applyBorder="1" applyAlignment="1">
      <alignment horizontal="right" vertical="center"/>
    </xf>
    <xf numFmtId="14" fontId="1" fillId="0" borderId="19" xfId="0" applyNumberFormat="1" applyFont="1" applyBorder="1" applyAlignment="1">
      <alignment horizontal="right" vertical="center" shrinkToFit="1"/>
    </xf>
    <xf numFmtId="0" fontId="9" fillId="0" borderId="0" xfId="0" applyFont="1">
      <alignment vertical="center"/>
    </xf>
    <xf numFmtId="14" fontId="9" fillId="0" borderId="17" xfId="0" applyNumberFormat="1" applyFont="1" applyBorder="1" applyAlignment="1">
      <alignment horizontal="right" vertical="center" shrinkToFit="1"/>
    </xf>
    <xf numFmtId="38" fontId="1" fillId="4" borderId="21" xfId="0" applyNumberFormat="1" applyFont="1" applyFill="1" applyBorder="1" applyAlignment="1">
      <alignment horizontal="center" vertical="center" shrinkToFit="1"/>
    </xf>
    <xf numFmtId="38" fontId="7" fillId="3" borderId="22" xfId="0" applyNumberFormat="1" applyFont="1" applyFill="1" applyBorder="1" applyAlignment="1">
      <alignment horizontal="right" vertical="center" shrinkToFit="1"/>
    </xf>
    <xf numFmtId="0" fontId="7" fillId="2" borderId="9" xfId="0" applyFont="1" applyFill="1" applyBorder="1" applyAlignment="1">
      <alignment horizontal="center" vertical="center" wrapText="1" shrinkToFit="1"/>
    </xf>
    <xf numFmtId="38" fontId="9" fillId="0" borderId="2" xfId="0" applyNumberFormat="1" applyFont="1" applyBorder="1" applyAlignment="1">
      <alignment horizontal="left" vertical="center"/>
    </xf>
    <xf numFmtId="38" fontId="9" fillId="0" borderId="16" xfId="0" applyNumberFormat="1" applyFont="1" applyBorder="1" applyAlignment="1">
      <alignment horizontal="left" vertical="center"/>
    </xf>
    <xf numFmtId="38" fontId="1" fillId="0" borderId="16" xfId="0" applyNumberFormat="1" applyFont="1" applyBorder="1" applyAlignment="1">
      <alignment horizontal="left" vertical="center"/>
    </xf>
    <xf numFmtId="38" fontId="1" fillId="4" borderId="23" xfId="0" applyNumberFormat="1" applyFont="1" applyFill="1" applyBorder="1" applyAlignment="1">
      <alignment horizontal="right" vertical="center" shrinkToFit="1"/>
    </xf>
    <xf numFmtId="38" fontId="1" fillId="4" borderId="23" xfId="0" applyNumberFormat="1" applyFont="1" applyFill="1" applyBorder="1" applyAlignment="1">
      <alignment horizontal="right" vertical="center"/>
    </xf>
    <xf numFmtId="38" fontId="1" fillId="0" borderId="23" xfId="0" applyNumberFormat="1" applyFont="1" applyBorder="1" applyAlignment="1">
      <alignment horizontal="right" vertical="center"/>
    </xf>
    <xf numFmtId="38" fontId="1" fillId="0" borderId="21" xfId="0" applyNumberFormat="1" applyFont="1" applyBorder="1" applyAlignment="1">
      <alignment horizontal="right" vertical="center"/>
    </xf>
    <xf numFmtId="164" fontId="1" fillId="0" borderId="21" xfId="0" applyNumberFormat="1" applyFont="1" applyBorder="1" applyAlignment="1">
      <alignment horizontal="right" vertical="center"/>
    </xf>
    <xf numFmtId="168" fontId="1" fillId="0" borderId="23" xfId="0" applyNumberFormat="1" applyFont="1" applyBorder="1" applyAlignment="1">
      <alignment horizontal="right" vertical="center"/>
    </xf>
    <xf numFmtId="14" fontId="1" fillId="0" borderId="21" xfId="0" applyNumberFormat="1" applyFont="1" applyBorder="1" applyAlignment="1">
      <alignment horizontal="right" vertical="center" shrinkToFit="1"/>
    </xf>
    <xf numFmtId="38" fontId="9" fillId="0" borderId="18" xfId="0" applyNumberFormat="1" applyFont="1" applyBorder="1" applyAlignment="1">
      <alignment horizontal="right" vertical="center"/>
    </xf>
    <xf numFmtId="38" fontId="9" fillId="0" borderId="17" xfId="0" applyNumberFormat="1" applyFont="1" applyBorder="1" applyAlignment="1">
      <alignment horizontal="right" vertical="center"/>
    </xf>
    <xf numFmtId="38" fontId="9" fillId="0" borderId="15" xfId="0" applyNumberFormat="1" applyFont="1" applyBorder="1" applyAlignment="1">
      <alignment horizontal="right" vertical="center"/>
    </xf>
    <xf numFmtId="38" fontId="9" fillId="0" borderId="14" xfId="0" applyNumberFormat="1" applyFont="1" applyBorder="1" applyAlignment="1">
      <alignment horizontal="right" vertical="center"/>
    </xf>
    <xf numFmtId="38" fontId="10" fillId="0" borderId="16" xfId="0" applyNumberFormat="1" applyFont="1" applyBorder="1" applyAlignment="1">
      <alignment horizontal="center" vertical="center" shrinkToFit="1"/>
    </xf>
    <xf numFmtId="165" fontId="10" fillId="0" borderId="16" xfId="0" applyNumberFormat="1" applyFont="1" applyBorder="1" applyAlignment="1">
      <alignment horizontal="center" vertical="center" shrinkToFit="1"/>
    </xf>
    <xf numFmtId="38" fontId="9" fillId="0" borderId="16" xfId="0" applyNumberFormat="1" applyFont="1" applyBorder="1" applyAlignment="1">
      <alignment horizontal="center" vertical="center" shrinkToFit="1"/>
    </xf>
    <xf numFmtId="164" fontId="9" fillId="0" borderId="17" xfId="0" applyNumberFormat="1" applyFont="1" applyBorder="1" applyAlignment="1">
      <alignment horizontal="right" vertical="center"/>
    </xf>
    <xf numFmtId="168" fontId="9" fillId="0" borderId="18" xfId="0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right"/>
    </xf>
    <xf numFmtId="167" fontId="5" fillId="0" borderId="1" xfId="0" applyNumberFormat="1" applyFont="1" applyBorder="1" applyAlignment="1">
      <alignment horizontal="right"/>
    </xf>
    <xf numFmtId="165" fontId="7" fillId="2" borderId="2" xfId="0" applyNumberFormat="1" applyFont="1" applyFill="1" applyBorder="1" applyAlignment="1">
      <alignment horizontal="center" vertical="center" shrinkToFit="1"/>
    </xf>
    <xf numFmtId="165" fontId="7" fillId="2" borderId="8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6"/>
  <sheetViews>
    <sheetView showZeros="0" tabSelected="1" zoomScale="70" zoomScaleNormal="70" zoomScaleSheetLayoutView="55" workbookViewId="0">
      <pane xSplit="8" ySplit="5" topLeftCell="N26" activePane="bottomRight" state="frozen"/>
      <selection pane="topRight" activeCell="U1" sqref="U1"/>
      <selection pane="bottomLeft" activeCell="A11" sqref="A11"/>
      <selection pane="bottomRight" activeCell="F31" sqref="F31"/>
    </sheetView>
  </sheetViews>
  <sheetFormatPr defaultColWidth="8.5703125" defaultRowHeight="15"/>
  <cols>
    <col min="1" max="1" width="4.85546875" style="3" customWidth="1"/>
    <col min="2" max="2" width="4.85546875" style="4" customWidth="1"/>
    <col min="3" max="3" width="16.5703125" style="3" customWidth="1"/>
    <col min="4" max="4" width="18.140625" style="3" customWidth="1"/>
    <col min="5" max="5" width="4.85546875" style="3" customWidth="1"/>
    <col min="6" max="6" width="19.140625" style="1" customWidth="1"/>
    <col min="7" max="7" width="14.140625" style="1" customWidth="1"/>
    <col min="8" max="32" width="8.140625" style="5" customWidth="1"/>
    <col min="33" max="33" width="13" style="5" customWidth="1"/>
    <col min="34" max="34" width="14.5703125" style="2" customWidth="1"/>
    <col min="35" max="16384" width="8.5703125" style="1"/>
  </cols>
  <sheetData>
    <row r="1" spans="1:34">
      <c r="A1" s="1"/>
      <c r="B1" s="2"/>
      <c r="C1" s="1">
        <v>5</v>
      </c>
      <c r="D1" s="3">
        <v>6</v>
      </c>
      <c r="E1" s="1">
        <v>7</v>
      </c>
      <c r="F1" s="3">
        <v>8</v>
      </c>
      <c r="G1" s="1">
        <v>9</v>
      </c>
      <c r="H1" s="3">
        <v>10</v>
      </c>
      <c r="I1" s="1">
        <v>11</v>
      </c>
      <c r="J1" s="1"/>
      <c r="K1" s="3">
        <v>12</v>
      </c>
      <c r="L1" s="1">
        <v>13</v>
      </c>
      <c r="M1" s="1"/>
      <c r="N1" s="1"/>
      <c r="O1" s="3">
        <v>14</v>
      </c>
      <c r="P1" s="1"/>
      <c r="Q1" s="3"/>
      <c r="R1" s="1"/>
      <c r="S1" s="1"/>
      <c r="T1" s="3"/>
      <c r="U1" s="1"/>
      <c r="V1" s="3"/>
      <c r="W1" s="1"/>
      <c r="X1" s="1"/>
      <c r="Y1" s="1"/>
      <c r="Z1" s="1">
        <v>23</v>
      </c>
      <c r="AA1" s="1"/>
      <c r="AB1" s="3">
        <v>24</v>
      </c>
      <c r="AC1" s="1">
        <v>25</v>
      </c>
      <c r="AD1" s="3">
        <v>26</v>
      </c>
      <c r="AE1" s="3"/>
      <c r="AF1" s="3"/>
      <c r="AG1" s="1">
        <v>27</v>
      </c>
      <c r="AH1" s="3">
        <v>28</v>
      </c>
    </row>
    <row r="2" spans="1:34" ht="31.5">
      <c r="C2" s="6" t="s">
        <v>0</v>
      </c>
      <c r="D2" s="7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9"/>
      <c r="AA2" s="9"/>
      <c r="AB2" s="9"/>
      <c r="AC2" s="10"/>
      <c r="AD2" s="10"/>
      <c r="AE2" s="10"/>
      <c r="AF2" s="10"/>
      <c r="AG2" s="103">
        <v>46093</v>
      </c>
      <c r="AH2" s="103"/>
    </row>
    <row r="3" spans="1:34" ht="19.899999999999999" customHeight="1">
      <c r="C3" s="6"/>
      <c r="D3" s="11"/>
      <c r="H3" s="1"/>
      <c r="I3" s="1"/>
      <c r="J3" s="1"/>
      <c r="K3" s="1"/>
      <c r="L3" s="1"/>
      <c r="M3" s="1"/>
      <c r="N3" s="1"/>
      <c r="O3" s="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3"/>
      <c r="AG3" s="104">
        <v>46066</v>
      </c>
      <c r="AH3" s="104"/>
    </row>
    <row r="4" spans="1:34" s="23" customFormat="1" ht="19.899999999999999" customHeight="1">
      <c r="A4" s="99" t="s">
        <v>1</v>
      </c>
      <c r="B4" s="105" t="s">
        <v>2</v>
      </c>
      <c r="C4" s="99" t="s">
        <v>3</v>
      </c>
      <c r="D4" s="99" t="s">
        <v>4</v>
      </c>
      <c r="E4" s="99" t="s">
        <v>5</v>
      </c>
      <c r="F4" s="99" t="s">
        <v>6</v>
      </c>
      <c r="G4" s="101" t="s">
        <v>7</v>
      </c>
      <c r="H4" s="15" t="s">
        <v>8</v>
      </c>
      <c r="I4" s="16" t="s">
        <v>9</v>
      </c>
      <c r="J4" s="17"/>
      <c r="K4" s="17"/>
      <c r="L4" s="17"/>
      <c r="M4" s="17"/>
      <c r="N4" s="17"/>
      <c r="O4" s="18"/>
      <c r="P4" s="19" t="s">
        <v>10</v>
      </c>
      <c r="Q4" s="19"/>
      <c r="R4" s="19"/>
      <c r="S4" s="19"/>
      <c r="T4" s="19"/>
      <c r="U4" s="20" t="s">
        <v>11</v>
      </c>
      <c r="V4" s="19"/>
      <c r="W4" s="19"/>
      <c r="X4" s="19"/>
      <c r="Y4" s="19"/>
      <c r="Z4" s="20" t="s">
        <v>12</v>
      </c>
      <c r="AA4" s="19"/>
      <c r="AB4" s="19"/>
      <c r="AC4" s="19"/>
      <c r="AD4" s="19"/>
      <c r="AE4" s="21"/>
      <c r="AF4" s="14" t="s">
        <v>13</v>
      </c>
      <c r="AG4" s="22" t="s">
        <v>14</v>
      </c>
      <c r="AH4" s="22" t="s">
        <v>13</v>
      </c>
    </row>
    <row r="5" spans="1:34" s="23" customFormat="1" ht="40.15" customHeight="1">
      <c r="A5" s="100"/>
      <c r="B5" s="106"/>
      <c r="C5" s="100"/>
      <c r="D5" s="100"/>
      <c r="E5" s="100"/>
      <c r="F5" s="100"/>
      <c r="G5" s="102"/>
      <c r="H5" s="25"/>
      <c r="I5" s="24"/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6" t="s">
        <v>20</v>
      </c>
      <c r="P5" s="27"/>
      <c r="Q5" s="28" t="s">
        <v>16</v>
      </c>
      <c r="R5" s="28" t="s">
        <v>17</v>
      </c>
      <c r="S5" s="28" t="s">
        <v>21</v>
      </c>
      <c r="T5" s="28" t="s">
        <v>19</v>
      </c>
      <c r="U5" s="24"/>
      <c r="V5" s="28" t="s">
        <v>16</v>
      </c>
      <c r="W5" s="28" t="s">
        <v>22</v>
      </c>
      <c r="X5" s="29" t="s">
        <v>18</v>
      </c>
      <c r="Y5" s="28" t="s">
        <v>19</v>
      </c>
      <c r="Z5" s="24"/>
      <c r="AA5" s="28" t="s">
        <v>16</v>
      </c>
      <c r="AB5" s="28" t="s">
        <v>22</v>
      </c>
      <c r="AC5" s="28" t="s">
        <v>18</v>
      </c>
      <c r="AD5" s="28" t="s">
        <v>19</v>
      </c>
      <c r="AE5" s="28" t="s">
        <v>20</v>
      </c>
      <c r="AF5" s="24" t="s">
        <v>23</v>
      </c>
      <c r="AG5" s="30" t="s">
        <v>24</v>
      </c>
      <c r="AH5" s="30" t="s">
        <v>25</v>
      </c>
    </row>
    <row r="6" spans="1:34" s="23" customFormat="1" ht="19.899999999999999" customHeight="1">
      <c r="A6" s="31"/>
      <c r="B6" s="32">
        <v>46072</v>
      </c>
      <c r="C6" s="33"/>
      <c r="D6" s="33" t="s">
        <v>26</v>
      </c>
      <c r="E6" s="31" t="s">
        <v>27</v>
      </c>
      <c r="F6" s="33" t="s">
        <v>28</v>
      </c>
      <c r="G6" s="33" t="s">
        <v>29</v>
      </c>
      <c r="H6" s="34">
        <f>+I6+P6+U6+Z6</f>
        <v>2104</v>
      </c>
      <c r="I6" s="35">
        <f>SUM(I7:I10)</f>
        <v>1900</v>
      </c>
      <c r="J6" s="35"/>
      <c r="K6" s="35">
        <f t="shared" ref="K6:AE6" si="0">SUM(K7:K10)</f>
        <v>446</v>
      </c>
      <c r="L6" s="35">
        <f t="shared" si="0"/>
        <v>655</v>
      </c>
      <c r="M6" s="35">
        <f t="shared" si="0"/>
        <v>527</v>
      </c>
      <c r="N6" s="35">
        <f t="shared" si="0"/>
        <v>190</v>
      </c>
      <c r="O6" s="36">
        <f t="shared" si="0"/>
        <v>82</v>
      </c>
      <c r="P6" s="35">
        <f t="shared" si="0"/>
        <v>154</v>
      </c>
      <c r="Q6" s="35">
        <f t="shared" si="0"/>
        <v>40</v>
      </c>
      <c r="R6" s="35">
        <f t="shared" si="0"/>
        <v>40</v>
      </c>
      <c r="S6" s="35">
        <f t="shared" si="0"/>
        <v>38</v>
      </c>
      <c r="T6" s="35">
        <f t="shared" si="0"/>
        <v>36</v>
      </c>
      <c r="U6" s="35">
        <f>SUM(V6:X6)</f>
        <v>18</v>
      </c>
      <c r="V6" s="35">
        <f t="shared" si="0"/>
        <v>7</v>
      </c>
      <c r="W6" s="35">
        <f t="shared" si="0"/>
        <v>6</v>
      </c>
      <c r="X6" s="35">
        <f t="shared" si="0"/>
        <v>5</v>
      </c>
      <c r="Y6" s="35"/>
      <c r="Z6" s="35">
        <f t="shared" si="0"/>
        <v>32</v>
      </c>
      <c r="AA6" s="35"/>
      <c r="AB6" s="35">
        <f t="shared" si="0"/>
        <v>8</v>
      </c>
      <c r="AC6" s="35">
        <f t="shared" si="0"/>
        <v>8</v>
      </c>
      <c r="AD6" s="35">
        <f t="shared" si="0"/>
        <v>8</v>
      </c>
      <c r="AE6" s="36">
        <f t="shared" si="0"/>
        <v>8</v>
      </c>
      <c r="AF6" s="37"/>
      <c r="AG6" s="38"/>
      <c r="AH6" s="39">
        <v>46199</v>
      </c>
    </row>
    <row r="7" spans="1:34" ht="19.899999999999999" customHeight="1">
      <c r="A7" s="40"/>
      <c r="B7" s="41"/>
      <c r="C7" s="42"/>
      <c r="D7" s="42"/>
      <c r="E7" s="40"/>
      <c r="F7" s="43"/>
      <c r="G7" s="44" t="s">
        <v>30</v>
      </c>
      <c r="H7" s="45">
        <f t="shared" ref="H7:H23" si="1">+I7+P7+U7+Z7</f>
        <v>596</v>
      </c>
      <c r="I7" s="46">
        <f>SUM(K7:O7)</f>
        <v>500</v>
      </c>
      <c r="J7" s="47"/>
      <c r="K7" s="47">
        <v>115</v>
      </c>
      <c r="L7" s="47">
        <v>160</v>
      </c>
      <c r="M7" s="47">
        <v>135</v>
      </c>
      <c r="N7" s="47">
        <v>55</v>
      </c>
      <c r="O7" s="48">
        <v>35</v>
      </c>
      <c r="P7" s="46">
        <f>SUM(Q7:T7)</f>
        <v>76</v>
      </c>
      <c r="Q7" s="47">
        <v>20</v>
      </c>
      <c r="R7" s="47">
        <v>20</v>
      </c>
      <c r="S7" s="47">
        <v>18</v>
      </c>
      <c r="T7" s="47">
        <v>18</v>
      </c>
      <c r="U7" s="46">
        <f t="shared" ref="U7:U23" si="2">SUM(V7:X7)</f>
        <v>12</v>
      </c>
      <c r="V7" s="47">
        <v>5</v>
      </c>
      <c r="W7" s="47">
        <v>4</v>
      </c>
      <c r="X7" s="47">
        <v>3</v>
      </c>
      <c r="Y7" s="47"/>
      <c r="Z7" s="46">
        <f>SUM(AB7:AE7)</f>
        <v>8</v>
      </c>
      <c r="AA7" s="47"/>
      <c r="AB7" s="47">
        <v>2</v>
      </c>
      <c r="AC7" s="47">
        <v>2</v>
      </c>
      <c r="AD7" s="47">
        <v>2</v>
      </c>
      <c r="AE7" s="48">
        <v>2</v>
      </c>
      <c r="AF7" s="49"/>
      <c r="AG7" s="50"/>
      <c r="AH7" s="51"/>
    </row>
    <row r="8" spans="1:34" ht="19.899999999999999" customHeight="1">
      <c r="A8" s="52"/>
      <c r="B8" s="53"/>
      <c r="C8" s="54"/>
      <c r="D8" s="54"/>
      <c r="E8" s="52"/>
      <c r="F8" s="54"/>
      <c r="G8" s="55" t="s">
        <v>31</v>
      </c>
      <c r="H8" s="56">
        <f t="shared" si="1"/>
        <v>508</v>
      </c>
      <c r="I8" s="57">
        <f t="shared" ref="I8:I23" si="3">SUM(K8:O8)</f>
        <v>500</v>
      </c>
      <c r="J8" s="58"/>
      <c r="K8" s="58">
        <v>115</v>
      </c>
      <c r="L8" s="58">
        <v>175</v>
      </c>
      <c r="M8" s="58">
        <v>140</v>
      </c>
      <c r="N8" s="58">
        <v>50</v>
      </c>
      <c r="O8" s="59">
        <v>20</v>
      </c>
      <c r="P8" s="57">
        <f t="shared" ref="P8:P23" si="4">SUM(Q8:T8)</f>
        <v>0</v>
      </c>
      <c r="Q8" s="58">
        <v>0</v>
      </c>
      <c r="R8" s="58">
        <v>0</v>
      </c>
      <c r="S8" s="58">
        <v>0</v>
      </c>
      <c r="T8" s="58">
        <v>0</v>
      </c>
      <c r="U8" s="57">
        <f t="shared" si="2"/>
        <v>0</v>
      </c>
      <c r="V8" s="58">
        <v>0</v>
      </c>
      <c r="W8" s="58">
        <v>0</v>
      </c>
      <c r="X8" s="58">
        <v>0</v>
      </c>
      <c r="Y8" s="58"/>
      <c r="Z8" s="57">
        <f t="shared" ref="Z8:Z23" si="5">SUM(AB8:AE8)</f>
        <v>8</v>
      </c>
      <c r="AA8" s="58"/>
      <c r="AB8" s="58">
        <v>2</v>
      </c>
      <c r="AC8" s="58">
        <v>2</v>
      </c>
      <c r="AD8" s="58">
        <v>2</v>
      </c>
      <c r="AE8" s="59">
        <v>2</v>
      </c>
      <c r="AF8" s="60"/>
      <c r="AG8" s="61"/>
      <c r="AH8" s="62"/>
    </row>
    <row r="9" spans="1:34" ht="19.899999999999999" customHeight="1">
      <c r="A9" s="52"/>
      <c r="B9" s="53"/>
      <c r="C9" s="54"/>
      <c r="D9" s="54"/>
      <c r="E9" s="52"/>
      <c r="F9" s="54"/>
      <c r="G9" s="55" t="s">
        <v>32</v>
      </c>
      <c r="H9" s="56">
        <f t="shared" si="1"/>
        <v>508</v>
      </c>
      <c r="I9" s="57">
        <f t="shared" si="3"/>
        <v>500</v>
      </c>
      <c r="J9" s="58"/>
      <c r="K9" s="58">
        <v>120</v>
      </c>
      <c r="L9" s="58">
        <v>180</v>
      </c>
      <c r="M9" s="58">
        <v>140</v>
      </c>
      <c r="N9" s="58">
        <v>45</v>
      </c>
      <c r="O9" s="59">
        <v>15</v>
      </c>
      <c r="P9" s="57">
        <f t="shared" si="4"/>
        <v>0</v>
      </c>
      <c r="Q9" s="58">
        <v>0</v>
      </c>
      <c r="R9" s="58">
        <v>0</v>
      </c>
      <c r="S9" s="58">
        <v>0</v>
      </c>
      <c r="T9" s="58">
        <v>0</v>
      </c>
      <c r="U9" s="57">
        <f t="shared" si="2"/>
        <v>0</v>
      </c>
      <c r="V9" s="58">
        <v>0</v>
      </c>
      <c r="W9" s="58">
        <v>0</v>
      </c>
      <c r="X9" s="58">
        <v>0</v>
      </c>
      <c r="Y9" s="58"/>
      <c r="Z9" s="57">
        <f t="shared" si="5"/>
        <v>8</v>
      </c>
      <c r="AA9" s="58"/>
      <c r="AB9" s="58">
        <v>2</v>
      </c>
      <c r="AC9" s="58">
        <v>2</v>
      </c>
      <c r="AD9" s="58">
        <v>2</v>
      </c>
      <c r="AE9" s="59">
        <v>2</v>
      </c>
      <c r="AF9" s="60"/>
      <c r="AG9" s="61"/>
      <c r="AH9" s="62"/>
    </row>
    <row r="10" spans="1:34" ht="19.899999999999999" customHeight="1">
      <c r="A10" s="52"/>
      <c r="B10" s="53"/>
      <c r="C10" s="54"/>
      <c r="D10" s="54"/>
      <c r="E10" s="52"/>
      <c r="F10" s="54"/>
      <c r="G10" s="55" t="s">
        <v>33</v>
      </c>
      <c r="H10" s="56">
        <f t="shared" si="1"/>
        <v>492</v>
      </c>
      <c r="I10" s="57">
        <f t="shared" si="3"/>
        <v>400</v>
      </c>
      <c r="J10" s="58"/>
      <c r="K10" s="58">
        <v>96</v>
      </c>
      <c r="L10" s="58">
        <v>140</v>
      </c>
      <c r="M10" s="58">
        <v>112</v>
      </c>
      <c r="N10" s="58">
        <v>40</v>
      </c>
      <c r="O10" s="59">
        <v>12</v>
      </c>
      <c r="P10" s="57">
        <f t="shared" si="4"/>
        <v>78</v>
      </c>
      <c r="Q10" s="58">
        <v>20</v>
      </c>
      <c r="R10" s="58">
        <v>20</v>
      </c>
      <c r="S10" s="58">
        <v>20</v>
      </c>
      <c r="T10" s="58">
        <v>18</v>
      </c>
      <c r="U10" s="57">
        <f t="shared" si="2"/>
        <v>6</v>
      </c>
      <c r="V10" s="58">
        <v>2</v>
      </c>
      <c r="W10" s="58">
        <v>2</v>
      </c>
      <c r="X10" s="58">
        <v>2</v>
      </c>
      <c r="Y10" s="58"/>
      <c r="Z10" s="57">
        <f t="shared" si="5"/>
        <v>8</v>
      </c>
      <c r="AA10" s="58"/>
      <c r="AB10" s="58">
        <v>2</v>
      </c>
      <c r="AC10" s="58">
        <v>2</v>
      </c>
      <c r="AD10" s="58">
        <v>2</v>
      </c>
      <c r="AE10" s="59">
        <v>2</v>
      </c>
      <c r="AF10" s="60"/>
      <c r="AG10" s="61"/>
      <c r="AH10" s="62"/>
    </row>
    <row r="11" spans="1:34" s="23" customFormat="1" ht="19.899999999999999" customHeight="1">
      <c r="A11" s="31"/>
      <c r="B11" s="32">
        <v>46072</v>
      </c>
      <c r="C11" s="33"/>
      <c r="D11" s="33" t="s">
        <v>34</v>
      </c>
      <c r="E11" s="31" t="s">
        <v>35</v>
      </c>
      <c r="F11" s="33" t="s">
        <v>36</v>
      </c>
      <c r="G11" s="33" t="s">
        <v>29</v>
      </c>
      <c r="H11" s="34">
        <f t="shared" si="1"/>
        <v>1292</v>
      </c>
      <c r="I11" s="35">
        <f>SUM(I12:I14)</f>
        <v>1100</v>
      </c>
      <c r="J11" s="35"/>
      <c r="K11" s="35">
        <f t="shared" ref="K11:AE11" si="6">SUM(K12:K14)</f>
        <v>256</v>
      </c>
      <c r="L11" s="35">
        <f t="shared" si="6"/>
        <v>374</v>
      </c>
      <c r="M11" s="35">
        <f t="shared" si="6"/>
        <v>297</v>
      </c>
      <c r="N11" s="35">
        <f t="shared" si="6"/>
        <v>118</v>
      </c>
      <c r="O11" s="36">
        <f t="shared" si="6"/>
        <v>55</v>
      </c>
      <c r="P11" s="35">
        <f t="shared" si="6"/>
        <v>192</v>
      </c>
      <c r="Q11" s="35">
        <f t="shared" si="6"/>
        <v>48</v>
      </c>
      <c r="R11" s="35">
        <f t="shared" si="6"/>
        <v>50</v>
      </c>
      <c r="S11" s="35">
        <f t="shared" si="6"/>
        <v>50</v>
      </c>
      <c r="T11" s="35">
        <f t="shared" si="6"/>
        <v>44</v>
      </c>
      <c r="U11" s="35">
        <f t="shared" si="2"/>
        <v>0</v>
      </c>
      <c r="V11" s="35">
        <f t="shared" si="6"/>
        <v>0</v>
      </c>
      <c r="W11" s="35">
        <f t="shared" si="6"/>
        <v>0</v>
      </c>
      <c r="X11" s="35">
        <f t="shared" si="6"/>
        <v>0</v>
      </c>
      <c r="Y11" s="35"/>
      <c r="Z11" s="35">
        <f t="shared" si="6"/>
        <v>0</v>
      </c>
      <c r="AA11" s="35"/>
      <c r="AB11" s="35">
        <f t="shared" si="6"/>
        <v>0</v>
      </c>
      <c r="AC11" s="35">
        <f t="shared" si="6"/>
        <v>0</v>
      </c>
      <c r="AD11" s="35">
        <f t="shared" si="6"/>
        <v>0</v>
      </c>
      <c r="AE11" s="36">
        <f t="shared" si="6"/>
        <v>0</v>
      </c>
      <c r="AF11" s="37"/>
      <c r="AG11" s="38"/>
      <c r="AH11" s="39">
        <v>46199</v>
      </c>
    </row>
    <row r="12" spans="1:34" ht="19.899999999999999" customHeight="1">
      <c r="A12" s="40"/>
      <c r="B12" s="41"/>
      <c r="C12" s="42"/>
      <c r="D12" s="42"/>
      <c r="E12" s="40"/>
      <c r="F12" s="43"/>
      <c r="G12" s="44" t="s">
        <v>31</v>
      </c>
      <c r="H12" s="45">
        <f t="shared" si="1"/>
        <v>476</v>
      </c>
      <c r="I12" s="46">
        <f t="shared" si="3"/>
        <v>400</v>
      </c>
      <c r="J12" s="47"/>
      <c r="K12" s="47">
        <v>92</v>
      </c>
      <c r="L12" s="47">
        <v>136</v>
      </c>
      <c r="M12" s="47">
        <v>108</v>
      </c>
      <c r="N12" s="47">
        <v>44</v>
      </c>
      <c r="O12" s="48">
        <v>20</v>
      </c>
      <c r="P12" s="46">
        <f t="shared" si="4"/>
        <v>76</v>
      </c>
      <c r="Q12" s="47">
        <v>18</v>
      </c>
      <c r="R12" s="47">
        <v>20</v>
      </c>
      <c r="S12" s="47">
        <v>20</v>
      </c>
      <c r="T12" s="47">
        <v>18</v>
      </c>
      <c r="U12" s="46">
        <f t="shared" si="2"/>
        <v>0</v>
      </c>
      <c r="V12" s="47">
        <v>0</v>
      </c>
      <c r="W12" s="47">
        <v>0</v>
      </c>
      <c r="X12" s="47">
        <v>0</v>
      </c>
      <c r="Y12" s="47"/>
      <c r="Z12" s="46">
        <f t="shared" si="5"/>
        <v>0</v>
      </c>
      <c r="AA12" s="47"/>
      <c r="AB12" s="47">
        <v>0</v>
      </c>
      <c r="AC12" s="47">
        <v>0</v>
      </c>
      <c r="AD12" s="47">
        <v>0</v>
      </c>
      <c r="AE12" s="48">
        <v>0</v>
      </c>
      <c r="AF12" s="49"/>
      <c r="AG12" s="50"/>
      <c r="AH12" s="51"/>
    </row>
    <row r="13" spans="1:34" ht="19.899999999999999" customHeight="1">
      <c r="A13" s="52"/>
      <c r="B13" s="53"/>
      <c r="C13" s="54"/>
      <c r="D13" s="54"/>
      <c r="E13" s="52"/>
      <c r="F13" s="54"/>
      <c r="G13" s="55" t="s">
        <v>37</v>
      </c>
      <c r="H13" s="56">
        <f t="shared" si="1"/>
        <v>457</v>
      </c>
      <c r="I13" s="57">
        <f t="shared" si="3"/>
        <v>400</v>
      </c>
      <c r="J13" s="58"/>
      <c r="K13" s="58">
        <v>92</v>
      </c>
      <c r="L13" s="58">
        <v>136</v>
      </c>
      <c r="M13" s="58">
        <v>108</v>
      </c>
      <c r="N13" s="58">
        <v>44</v>
      </c>
      <c r="O13" s="59">
        <v>20</v>
      </c>
      <c r="P13" s="57">
        <f t="shared" si="4"/>
        <v>57</v>
      </c>
      <c r="Q13" s="58">
        <v>15</v>
      </c>
      <c r="R13" s="58">
        <v>15</v>
      </c>
      <c r="S13" s="58">
        <v>15</v>
      </c>
      <c r="T13" s="58">
        <v>12</v>
      </c>
      <c r="U13" s="57">
        <f t="shared" si="2"/>
        <v>0</v>
      </c>
      <c r="V13" s="58">
        <v>0</v>
      </c>
      <c r="W13" s="58">
        <v>0</v>
      </c>
      <c r="X13" s="58">
        <v>0</v>
      </c>
      <c r="Y13" s="58"/>
      <c r="Z13" s="57">
        <f t="shared" si="5"/>
        <v>0</v>
      </c>
      <c r="AA13" s="58"/>
      <c r="AB13" s="58">
        <v>0</v>
      </c>
      <c r="AC13" s="58">
        <v>0</v>
      </c>
      <c r="AD13" s="58">
        <v>0</v>
      </c>
      <c r="AE13" s="59">
        <v>0</v>
      </c>
      <c r="AF13" s="60"/>
      <c r="AG13" s="61"/>
      <c r="AH13" s="62"/>
    </row>
    <row r="14" spans="1:34" ht="19.899999999999999" customHeight="1">
      <c r="A14" s="52"/>
      <c r="B14" s="53"/>
      <c r="C14" s="54"/>
      <c r="D14" s="54"/>
      <c r="E14" s="52"/>
      <c r="F14" s="54"/>
      <c r="G14" s="55" t="s">
        <v>38</v>
      </c>
      <c r="H14" s="56">
        <f t="shared" si="1"/>
        <v>359</v>
      </c>
      <c r="I14" s="57">
        <f t="shared" si="3"/>
        <v>300</v>
      </c>
      <c r="J14" s="58"/>
      <c r="K14" s="58">
        <v>72</v>
      </c>
      <c r="L14" s="58">
        <v>102</v>
      </c>
      <c r="M14" s="58">
        <v>81</v>
      </c>
      <c r="N14" s="58">
        <v>30</v>
      </c>
      <c r="O14" s="59">
        <v>15</v>
      </c>
      <c r="P14" s="57">
        <f t="shared" si="4"/>
        <v>59</v>
      </c>
      <c r="Q14" s="58">
        <v>15</v>
      </c>
      <c r="R14" s="58">
        <v>15</v>
      </c>
      <c r="S14" s="58">
        <v>15</v>
      </c>
      <c r="T14" s="58">
        <v>14</v>
      </c>
      <c r="U14" s="57">
        <f t="shared" si="2"/>
        <v>0</v>
      </c>
      <c r="V14" s="58">
        <v>0</v>
      </c>
      <c r="W14" s="58">
        <v>0</v>
      </c>
      <c r="X14" s="58">
        <v>0</v>
      </c>
      <c r="Y14" s="58"/>
      <c r="Z14" s="57">
        <f t="shared" si="5"/>
        <v>0</v>
      </c>
      <c r="AA14" s="58"/>
      <c r="AB14" s="58">
        <v>0</v>
      </c>
      <c r="AC14" s="58">
        <v>0</v>
      </c>
      <c r="AD14" s="58">
        <v>0</v>
      </c>
      <c r="AE14" s="59">
        <v>0</v>
      </c>
      <c r="AF14" s="60"/>
      <c r="AG14" s="61"/>
      <c r="AH14" s="62"/>
    </row>
    <row r="15" spans="1:34" s="23" customFormat="1" ht="19.899999999999999" customHeight="1">
      <c r="A15" s="31"/>
      <c r="B15" s="32">
        <v>46072</v>
      </c>
      <c r="C15" s="33"/>
      <c r="D15" s="33" t="s">
        <v>39</v>
      </c>
      <c r="E15" s="31" t="s">
        <v>40</v>
      </c>
      <c r="F15" s="33" t="s">
        <v>41</v>
      </c>
      <c r="G15" s="33" t="s">
        <v>29</v>
      </c>
      <c r="H15" s="34">
        <f t="shared" si="1"/>
        <v>1538</v>
      </c>
      <c r="I15" s="35">
        <f>SUM(I16:I17)</f>
        <v>1400</v>
      </c>
      <c r="J15" s="35"/>
      <c r="K15" s="35">
        <f t="shared" ref="K15:AE15" si="7">SUM(K16:K17)</f>
        <v>350</v>
      </c>
      <c r="L15" s="35">
        <f t="shared" si="7"/>
        <v>504</v>
      </c>
      <c r="M15" s="35">
        <f t="shared" si="7"/>
        <v>336</v>
      </c>
      <c r="N15" s="35">
        <f t="shared" si="7"/>
        <v>140</v>
      </c>
      <c r="O15" s="36">
        <f t="shared" si="7"/>
        <v>70</v>
      </c>
      <c r="P15" s="35">
        <f t="shared" si="7"/>
        <v>130</v>
      </c>
      <c r="Q15" s="35">
        <f t="shared" si="7"/>
        <v>31</v>
      </c>
      <c r="R15" s="35">
        <f t="shared" si="7"/>
        <v>34</v>
      </c>
      <c r="S15" s="35">
        <f t="shared" si="7"/>
        <v>34</v>
      </c>
      <c r="T15" s="35">
        <f t="shared" si="7"/>
        <v>31</v>
      </c>
      <c r="U15" s="35">
        <f t="shared" si="2"/>
        <v>0</v>
      </c>
      <c r="V15" s="35">
        <f t="shared" si="7"/>
        <v>0</v>
      </c>
      <c r="W15" s="35">
        <f t="shared" si="7"/>
        <v>0</v>
      </c>
      <c r="X15" s="35">
        <f t="shared" si="7"/>
        <v>0</v>
      </c>
      <c r="Y15" s="35"/>
      <c r="Z15" s="35">
        <f t="shared" si="7"/>
        <v>8</v>
      </c>
      <c r="AA15" s="35"/>
      <c r="AB15" s="35">
        <f t="shared" si="7"/>
        <v>2</v>
      </c>
      <c r="AC15" s="35">
        <f t="shared" si="7"/>
        <v>2</v>
      </c>
      <c r="AD15" s="35">
        <f t="shared" si="7"/>
        <v>2</v>
      </c>
      <c r="AE15" s="36">
        <f t="shared" si="7"/>
        <v>2</v>
      </c>
      <c r="AF15" s="37"/>
      <c r="AG15" s="38"/>
      <c r="AH15" s="39">
        <v>46199</v>
      </c>
    </row>
    <row r="16" spans="1:34" ht="19.899999999999999" customHeight="1">
      <c r="A16" s="40"/>
      <c r="B16" s="41"/>
      <c r="C16" s="42"/>
      <c r="D16" s="42"/>
      <c r="E16" s="40"/>
      <c r="F16" s="43"/>
      <c r="G16" s="44" t="s">
        <v>42</v>
      </c>
      <c r="H16" s="45">
        <f t="shared" si="1"/>
        <v>774</v>
      </c>
      <c r="I16" s="46">
        <f t="shared" si="3"/>
        <v>700</v>
      </c>
      <c r="J16" s="47"/>
      <c r="K16" s="47">
        <v>175</v>
      </c>
      <c r="L16" s="47">
        <v>252</v>
      </c>
      <c r="M16" s="47">
        <v>168</v>
      </c>
      <c r="N16" s="47">
        <v>70</v>
      </c>
      <c r="O16" s="48">
        <v>35</v>
      </c>
      <c r="P16" s="46">
        <f t="shared" si="4"/>
        <v>70</v>
      </c>
      <c r="Q16" s="47">
        <v>16</v>
      </c>
      <c r="R16" s="47">
        <v>19</v>
      </c>
      <c r="S16" s="47">
        <v>19</v>
      </c>
      <c r="T16" s="47">
        <v>16</v>
      </c>
      <c r="U16" s="46">
        <f t="shared" si="2"/>
        <v>0</v>
      </c>
      <c r="V16" s="47">
        <v>0</v>
      </c>
      <c r="W16" s="47">
        <v>0</v>
      </c>
      <c r="X16" s="47">
        <v>0</v>
      </c>
      <c r="Y16" s="47"/>
      <c r="Z16" s="46">
        <f t="shared" si="5"/>
        <v>4</v>
      </c>
      <c r="AA16" s="47"/>
      <c r="AB16" s="47">
        <v>1</v>
      </c>
      <c r="AC16" s="47">
        <v>1</v>
      </c>
      <c r="AD16" s="47">
        <v>1</v>
      </c>
      <c r="AE16" s="48">
        <v>1</v>
      </c>
      <c r="AF16" s="49"/>
      <c r="AG16" s="50"/>
      <c r="AH16" s="51"/>
    </row>
    <row r="17" spans="1:34" ht="19.899999999999999" customHeight="1">
      <c r="A17" s="52"/>
      <c r="B17" s="53"/>
      <c r="C17" s="54"/>
      <c r="D17" s="54"/>
      <c r="E17" s="52"/>
      <c r="F17" s="54"/>
      <c r="G17" s="55" t="s">
        <v>38</v>
      </c>
      <c r="H17" s="56">
        <f t="shared" si="1"/>
        <v>764</v>
      </c>
      <c r="I17" s="57">
        <f t="shared" si="3"/>
        <v>700</v>
      </c>
      <c r="J17" s="58"/>
      <c r="K17" s="58">
        <v>175</v>
      </c>
      <c r="L17" s="58">
        <v>252</v>
      </c>
      <c r="M17" s="58">
        <v>168</v>
      </c>
      <c r="N17" s="58">
        <v>70</v>
      </c>
      <c r="O17" s="59">
        <v>35</v>
      </c>
      <c r="P17" s="57">
        <f t="shared" si="4"/>
        <v>60</v>
      </c>
      <c r="Q17" s="58">
        <v>15</v>
      </c>
      <c r="R17" s="58">
        <v>15</v>
      </c>
      <c r="S17" s="58">
        <v>15</v>
      </c>
      <c r="T17" s="58">
        <v>15</v>
      </c>
      <c r="U17" s="57">
        <f t="shared" si="2"/>
        <v>0</v>
      </c>
      <c r="V17" s="58">
        <v>0</v>
      </c>
      <c r="W17" s="58">
        <v>0</v>
      </c>
      <c r="X17" s="58">
        <v>0</v>
      </c>
      <c r="Y17" s="58"/>
      <c r="Z17" s="57">
        <f t="shared" si="5"/>
        <v>4</v>
      </c>
      <c r="AA17" s="58"/>
      <c r="AB17" s="58">
        <v>1</v>
      </c>
      <c r="AC17" s="58">
        <v>1</v>
      </c>
      <c r="AD17" s="58">
        <v>1</v>
      </c>
      <c r="AE17" s="59">
        <v>1</v>
      </c>
      <c r="AF17" s="60"/>
      <c r="AG17" s="61"/>
      <c r="AH17" s="62"/>
    </row>
    <row r="18" spans="1:34" s="23" customFormat="1" ht="19.899999999999999" customHeight="1">
      <c r="A18" s="31"/>
      <c r="B18" s="32">
        <v>46072</v>
      </c>
      <c r="C18" s="33"/>
      <c r="D18" s="33" t="s">
        <v>39</v>
      </c>
      <c r="E18" s="63" t="s">
        <v>43</v>
      </c>
      <c r="F18" s="33" t="s">
        <v>41</v>
      </c>
      <c r="G18" s="33" t="s">
        <v>29</v>
      </c>
      <c r="H18" s="34">
        <f t="shared" si="1"/>
        <v>600</v>
      </c>
      <c r="I18" s="35">
        <f>SUM(I19:I20)</f>
        <v>600</v>
      </c>
      <c r="J18" s="35"/>
      <c r="K18" s="35">
        <f t="shared" ref="K18:O18" si="8">SUM(K19:K20)</f>
        <v>130</v>
      </c>
      <c r="L18" s="35">
        <f t="shared" si="8"/>
        <v>200</v>
      </c>
      <c r="M18" s="35">
        <f t="shared" si="8"/>
        <v>180</v>
      </c>
      <c r="N18" s="35">
        <f t="shared" si="8"/>
        <v>60</v>
      </c>
      <c r="O18" s="36">
        <f t="shared" si="8"/>
        <v>30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/>
      <c r="AF18" s="37"/>
      <c r="AG18" s="38"/>
      <c r="AH18" s="39" t="s">
        <v>44</v>
      </c>
    </row>
    <row r="19" spans="1:34" ht="19.899999999999999" customHeight="1">
      <c r="A19" s="40"/>
      <c r="B19" s="41"/>
      <c r="C19" s="42"/>
      <c r="D19" s="42"/>
      <c r="E19" s="40"/>
      <c r="F19" s="43"/>
      <c r="G19" s="44" t="s">
        <v>42</v>
      </c>
      <c r="H19" s="45">
        <f t="shared" si="1"/>
        <v>300</v>
      </c>
      <c r="I19" s="46">
        <f t="shared" si="3"/>
        <v>300</v>
      </c>
      <c r="J19" s="47"/>
      <c r="K19" s="47">
        <v>65</v>
      </c>
      <c r="L19" s="47">
        <v>100</v>
      </c>
      <c r="M19" s="47">
        <v>90</v>
      </c>
      <c r="N19" s="47">
        <v>30</v>
      </c>
      <c r="O19" s="48">
        <v>15</v>
      </c>
      <c r="P19" s="46"/>
      <c r="Q19" s="47"/>
      <c r="R19" s="47"/>
      <c r="S19" s="47"/>
      <c r="T19" s="47"/>
      <c r="U19" s="46"/>
      <c r="V19" s="47"/>
      <c r="W19" s="47"/>
      <c r="X19" s="47"/>
      <c r="Y19" s="47"/>
      <c r="Z19" s="46"/>
      <c r="AA19" s="47"/>
      <c r="AB19" s="47"/>
      <c r="AC19" s="47"/>
      <c r="AD19" s="47"/>
      <c r="AE19" s="48"/>
      <c r="AF19" s="49"/>
      <c r="AG19" s="50"/>
      <c r="AH19" s="51"/>
    </row>
    <row r="20" spans="1:34" ht="19.899999999999999" customHeight="1">
      <c r="A20" s="52"/>
      <c r="B20" s="53"/>
      <c r="C20" s="54"/>
      <c r="D20" s="54"/>
      <c r="E20" s="52"/>
      <c r="F20" s="54"/>
      <c r="G20" s="55" t="s">
        <v>38</v>
      </c>
      <c r="H20" s="56">
        <f t="shared" si="1"/>
        <v>300</v>
      </c>
      <c r="I20" s="57">
        <f t="shared" si="3"/>
        <v>300</v>
      </c>
      <c r="J20" s="58"/>
      <c r="K20" s="58">
        <v>65</v>
      </c>
      <c r="L20" s="58">
        <v>100</v>
      </c>
      <c r="M20" s="58">
        <v>90</v>
      </c>
      <c r="N20" s="58">
        <v>30</v>
      </c>
      <c r="O20" s="59">
        <v>15</v>
      </c>
      <c r="P20" s="57"/>
      <c r="Q20" s="58"/>
      <c r="R20" s="58"/>
      <c r="S20" s="58"/>
      <c r="T20" s="58"/>
      <c r="U20" s="57"/>
      <c r="V20" s="58"/>
      <c r="W20" s="58"/>
      <c r="X20" s="58"/>
      <c r="Y20" s="58"/>
      <c r="Z20" s="57"/>
      <c r="AA20" s="58"/>
      <c r="AB20" s="58"/>
      <c r="AC20" s="58"/>
      <c r="AD20" s="58"/>
      <c r="AE20" s="59"/>
      <c r="AF20" s="60"/>
      <c r="AG20" s="61"/>
      <c r="AH20" s="62"/>
    </row>
    <row r="21" spans="1:34" s="23" customFormat="1" ht="19.899999999999999" customHeight="1">
      <c r="A21" s="31"/>
      <c r="B21" s="32">
        <v>46072</v>
      </c>
      <c r="C21" s="33"/>
      <c r="D21" s="33" t="s">
        <v>45</v>
      </c>
      <c r="E21" s="31" t="s">
        <v>27</v>
      </c>
      <c r="F21" s="33" t="s">
        <v>46</v>
      </c>
      <c r="G21" s="33" t="s">
        <v>29</v>
      </c>
      <c r="H21" s="34">
        <f t="shared" si="1"/>
        <v>1532</v>
      </c>
      <c r="I21" s="35">
        <f>SUM(I22:I23)</f>
        <v>1400</v>
      </c>
      <c r="J21" s="35"/>
      <c r="K21" s="35">
        <f t="shared" ref="K21:T21" si="9">SUM(K22:K23)</f>
        <v>336</v>
      </c>
      <c r="L21" s="35">
        <f t="shared" si="9"/>
        <v>448</v>
      </c>
      <c r="M21" s="35">
        <f t="shared" si="9"/>
        <v>364</v>
      </c>
      <c r="N21" s="35">
        <f t="shared" si="9"/>
        <v>168</v>
      </c>
      <c r="O21" s="36">
        <f t="shared" si="9"/>
        <v>84</v>
      </c>
      <c r="P21" s="35">
        <f t="shared" si="9"/>
        <v>132</v>
      </c>
      <c r="Q21" s="35">
        <f t="shared" si="9"/>
        <v>31</v>
      </c>
      <c r="R21" s="35">
        <f t="shared" si="9"/>
        <v>35</v>
      </c>
      <c r="S21" s="35">
        <f t="shared" si="9"/>
        <v>35</v>
      </c>
      <c r="T21" s="35">
        <f t="shared" si="9"/>
        <v>31</v>
      </c>
      <c r="U21" s="35">
        <f t="shared" si="2"/>
        <v>0</v>
      </c>
      <c r="V21" s="35">
        <f t="shared" ref="V21:X21" si="10">SUM(V22:V23)</f>
        <v>0</v>
      </c>
      <c r="W21" s="35">
        <f t="shared" si="10"/>
        <v>0</v>
      </c>
      <c r="X21" s="35">
        <f t="shared" si="10"/>
        <v>0</v>
      </c>
      <c r="Y21" s="35"/>
      <c r="Z21" s="35">
        <f t="shared" ref="Z21" si="11">SUM(Z22:Z23)</f>
        <v>0</v>
      </c>
      <c r="AA21" s="35"/>
      <c r="AB21" s="35">
        <f t="shared" ref="AB21:AE21" si="12">SUM(AB22:AB23)</f>
        <v>0</v>
      </c>
      <c r="AC21" s="35">
        <f t="shared" si="12"/>
        <v>0</v>
      </c>
      <c r="AD21" s="35">
        <f t="shared" si="12"/>
        <v>0</v>
      </c>
      <c r="AE21" s="36">
        <f t="shared" si="12"/>
        <v>0</v>
      </c>
      <c r="AF21" s="37"/>
      <c r="AG21" s="38"/>
      <c r="AH21" s="39">
        <v>46199</v>
      </c>
    </row>
    <row r="22" spans="1:34" ht="19.899999999999999" customHeight="1">
      <c r="A22" s="40"/>
      <c r="B22" s="41"/>
      <c r="C22" s="42"/>
      <c r="D22" s="42"/>
      <c r="E22" s="40"/>
      <c r="F22" s="43"/>
      <c r="G22" s="44" t="s">
        <v>30</v>
      </c>
      <c r="H22" s="45">
        <f t="shared" si="1"/>
        <v>862</v>
      </c>
      <c r="I22" s="46">
        <f t="shared" si="3"/>
        <v>800</v>
      </c>
      <c r="J22" s="47"/>
      <c r="K22" s="47">
        <v>192</v>
      </c>
      <c r="L22" s="47">
        <v>256</v>
      </c>
      <c r="M22" s="47">
        <v>208</v>
      </c>
      <c r="N22" s="47">
        <v>96</v>
      </c>
      <c r="O22" s="48">
        <v>48</v>
      </c>
      <c r="P22" s="46">
        <f t="shared" si="4"/>
        <v>62</v>
      </c>
      <c r="Q22" s="47">
        <v>15</v>
      </c>
      <c r="R22" s="47">
        <v>16</v>
      </c>
      <c r="S22" s="47">
        <v>16</v>
      </c>
      <c r="T22" s="47">
        <v>15</v>
      </c>
      <c r="U22" s="46">
        <f t="shared" si="2"/>
        <v>0</v>
      </c>
      <c r="V22" s="47">
        <v>0</v>
      </c>
      <c r="W22" s="47">
        <v>0</v>
      </c>
      <c r="X22" s="47">
        <v>0</v>
      </c>
      <c r="Y22" s="47"/>
      <c r="Z22" s="46">
        <f t="shared" si="5"/>
        <v>0</v>
      </c>
      <c r="AA22" s="47"/>
      <c r="AB22" s="47">
        <v>0</v>
      </c>
      <c r="AC22" s="47">
        <v>0</v>
      </c>
      <c r="AD22" s="47">
        <v>0</v>
      </c>
      <c r="AE22" s="48">
        <v>0</v>
      </c>
      <c r="AF22" s="49"/>
      <c r="AG22" s="50"/>
      <c r="AH22" s="51"/>
    </row>
    <row r="23" spans="1:34" ht="19.899999999999999" customHeight="1">
      <c r="A23" s="64"/>
      <c r="B23" s="65"/>
      <c r="C23" s="66"/>
      <c r="D23" s="66"/>
      <c r="E23" s="64"/>
      <c r="F23" s="66"/>
      <c r="G23" s="67" t="s">
        <v>42</v>
      </c>
      <c r="H23" s="68">
        <f t="shared" si="1"/>
        <v>670</v>
      </c>
      <c r="I23" s="69">
        <f t="shared" si="3"/>
        <v>600</v>
      </c>
      <c r="J23" s="70"/>
      <c r="K23" s="70">
        <v>144</v>
      </c>
      <c r="L23" s="70">
        <v>192</v>
      </c>
      <c r="M23" s="70">
        <v>156</v>
      </c>
      <c r="N23" s="70">
        <v>72</v>
      </c>
      <c r="O23" s="71">
        <v>36</v>
      </c>
      <c r="P23" s="69">
        <f t="shared" si="4"/>
        <v>70</v>
      </c>
      <c r="Q23" s="70">
        <v>16</v>
      </c>
      <c r="R23" s="70">
        <v>19</v>
      </c>
      <c r="S23" s="70">
        <v>19</v>
      </c>
      <c r="T23" s="70">
        <v>16</v>
      </c>
      <c r="U23" s="69">
        <f t="shared" si="2"/>
        <v>0</v>
      </c>
      <c r="V23" s="70">
        <v>0</v>
      </c>
      <c r="W23" s="70">
        <v>0</v>
      </c>
      <c r="X23" s="70">
        <v>0</v>
      </c>
      <c r="Y23" s="70"/>
      <c r="Z23" s="69">
        <f t="shared" si="5"/>
        <v>0</v>
      </c>
      <c r="AA23" s="70"/>
      <c r="AB23" s="70">
        <v>0</v>
      </c>
      <c r="AC23" s="70">
        <v>0</v>
      </c>
      <c r="AD23" s="70">
        <v>0</v>
      </c>
      <c r="AE23" s="71">
        <v>0</v>
      </c>
      <c r="AF23" s="72"/>
      <c r="AG23" s="73"/>
      <c r="AH23" s="74"/>
    </row>
    <row r="24" spans="1:34" s="11" customFormat="1" ht="19.899999999999999" customHeight="1">
      <c r="A24" s="31"/>
      <c r="B24" s="32">
        <v>46079</v>
      </c>
      <c r="C24" s="33"/>
      <c r="D24" s="33" t="s">
        <v>47</v>
      </c>
      <c r="E24" s="31" t="s">
        <v>27</v>
      </c>
      <c r="F24" s="33" t="s">
        <v>48</v>
      </c>
      <c r="G24" s="33" t="s">
        <v>29</v>
      </c>
      <c r="H24" s="34">
        <v>2892</v>
      </c>
      <c r="I24" s="35">
        <v>2600</v>
      </c>
      <c r="J24" s="35"/>
      <c r="K24" s="35">
        <v>537</v>
      </c>
      <c r="L24" s="35">
        <v>995.5</v>
      </c>
      <c r="M24" s="35">
        <v>726.5</v>
      </c>
      <c r="N24" s="35">
        <v>264.5</v>
      </c>
      <c r="O24" s="36">
        <v>76.5</v>
      </c>
      <c r="P24" s="35">
        <v>198</v>
      </c>
      <c r="Q24" s="35">
        <v>48</v>
      </c>
      <c r="R24" s="35">
        <v>52</v>
      </c>
      <c r="S24" s="35">
        <v>52</v>
      </c>
      <c r="T24" s="35">
        <v>46</v>
      </c>
      <c r="U24" s="35">
        <v>47</v>
      </c>
      <c r="V24" s="35">
        <v>16</v>
      </c>
      <c r="W24" s="35">
        <v>16</v>
      </c>
      <c r="X24" s="35">
        <v>11</v>
      </c>
      <c r="Y24" s="35">
        <v>4</v>
      </c>
      <c r="Z24" s="35">
        <v>47</v>
      </c>
      <c r="AA24" s="35">
        <v>16</v>
      </c>
      <c r="AB24" s="35">
        <v>16</v>
      </c>
      <c r="AC24" s="35">
        <v>11</v>
      </c>
      <c r="AD24" s="35">
        <v>4</v>
      </c>
      <c r="AE24" s="36">
        <v>0</v>
      </c>
      <c r="AF24" s="37"/>
      <c r="AG24" s="38"/>
      <c r="AH24" s="39">
        <v>46211</v>
      </c>
    </row>
    <row r="25" spans="1:34" s="75" customFormat="1" ht="19.899999999999999" customHeight="1">
      <c r="A25" s="40"/>
      <c r="B25" s="41"/>
      <c r="C25" s="42"/>
      <c r="D25" s="42"/>
      <c r="E25" s="40"/>
      <c r="F25" s="43"/>
      <c r="G25" s="44" t="s">
        <v>30</v>
      </c>
      <c r="H25" s="45">
        <v>584</v>
      </c>
      <c r="I25" s="46">
        <v>500</v>
      </c>
      <c r="J25" s="47"/>
      <c r="K25" s="47">
        <v>125</v>
      </c>
      <c r="L25" s="47">
        <v>175</v>
      </c>
      <c r="M25" s="47">
        <v>145</v>
      </c>
      <c r="N25" s="47">
        <v>40</v>
      </c>
      <c r="O25" s="48">
        <v>15</v>
      </c>
      <c r="P25" s="46">
        <v>56</v>
      </c>
      <c r="Q25" s="47">
        <v>14</v>
      </c>
      <c r="R25" s="47">
        <v>14</v>
      </c>
      <c r="S25" s="47">
        <v>14</v>
      </c>
      <c r="T25" s="47">
        <v>14</v>
      </c>
      <c r="U25" s="46">
        <v>14</v>
      </c>
      <c r="V25" s="47">
        <v>4</v>
      </c>
      <c r="W25" s="47">
        <v>4</v>
      </c>
      <c r="X25" s="47">
        <v>4</v>
      </c>
      <c r="Y25" s="47">
        <v>2</v>
      </c>
      <c r="Z25" s="46">
        <v>14</v>
      </c>
      <c r="AA25" s="47">
        <v>4</v>
      </c>
      <c r="AB25" s="47">
        <v>4</v>
      </c>
      <c r="AC25" s="47">
        <v>4</v>
      </c>
      <c r="AD25" s="47">
        <v>2</v>
      </c>
      <c r="AE25" s="48"/>
      <c r="AF25" s="49"/>
      <c r="AG25" s="50"/>
      <c r="AH25" s="51"/>
    </row>
    <row r="26" spans="1:34" s="75" customFormat="1" ht="19.899999999999999" customHeight="1">
      <c r="A26" s="52"/>
      <c r="B26" s="53"/>
      <c r="C26" s="54"/>
      <c r="D26" s="54"/>
      <c r="E26" s="52"/>
      <c r="F26" s="54"/>
      <c r="G26" s="55" t="s">
        <v>31</v>
      </c>
      <c r="H26" s="56">
        <v>896</v>
      </c>
      <c r="I26" s="57">
        <v>800</v>
      </c>
      <c r="J26" s="58"/>
      <c r="K26" s="58">
        <v>152</v>
      </c>
      <c r="L26" s="58">
        <v>320</v>
      </c>
      <c r="M26" s="58">
        <v>224</v>
      </c>
      <c r="N26" s="58">
        <v>88</v>
      </c>
      <c r="O26" s="59">
        <v>16</v>
      </c>
      <c r="P26" s="57">
        <v>74</v>
      </c>
      <c r="Q26" s="58">
        <v>18</v>
      </c>
      <c r="R26" s="58">
        <v>20</v>
      </c>
      <c r="S26" s="58">
        <v>20</v>
      </c>
      <c r="T26" s="58">
        <v>16</v>
      </c>
      <c r="U26" s="57">
        <v>11</v>
      </c>
      <c r="V26" s="58">
        <v>4</v>
      </c>
      <c r="W26" s="58">
        <v>4</v>
      </c>
      <c r="X26" s="58">
        <v>3</v>
      </c>
      <c r="Y26" s="58">
        <v>0</v>
      </c>
      <c r="Z26" s="57">
        <v>11</v>
      </c>
      <c r="AA26" s="58">
        <v>4</v>
      </c>
      <c r="AB26" s="58">
        <v>4</v>
      </c>
      <c r="AC26" s="58">
        <v>3</v>
      </c>
      <c r="AD26" s="58">
        <v>0</v>
      </c>
      <c r="AE26" s="59"/>
      <c r="AF26" s="60"/>
      <c r="AG26" s="61"/>
      <c r="AH26" s="62"/>
    </row>
    <row r="27" spans="1:34" s="75" customFormat="1" ht="19.899999999999999" customHeight="1">
      <c r="A27" s="52"/>
      <c r="B27" s="53"/>
      <c r="C27" s="54"/>
      <c r="D27" s="54"/>
      <c r="E27" s="52"/>
      <c r="F27" s="54"/>
      <c r="G27" s="55" t="s">
        <v>38</v>
      </c>
      <c r="H27" s="56">
        <v>666</v>
      </c>
      <c r="I27" s="57">
        <v>650</v>
      </c>
      <c r="J27" s="58"/>
      <c r="K27" s="58">
        <v>136.5</v>
      </c>
      <c r="L27" s="58">
        <v>260</v>
      </c>
      <c r="M27" s="58">
        <v>169</v>
      </c>
      <c r="N27" s="58">
        <v>71.5</v>
      </c>
      <c r="O27" s="59">
        <v>13</v>
      </c>
      <c r="P27" s="57">
        <v>0</v>
      </c>
      <c r="Q27" s="58">
        <v>0</v>
      </c>
      <c r="R27" s="58">
        <v>0</v>
      </c>
      <c r="S27" s="58">
        <v>0</v>
      </c>
      <c r="T27" s="58">
        <v>0</v>
      </c>
      <c r="U27" s="57">
        <v>8</v>
      </c>
      <c r="V27" s="58">
        <v>4</v>
      </c>
      <c r="W27" s="58">
        <v>4</v>
      </c>
      <c r="X27" s="58">
        <v>0</v>
      </c>
      <c r="Y27" s="58">
        <v>0</v>
      </c>
      <c r="Z27" s="57">
        <v>8</v>
      </c>
      <c r="AA27" s="58">
        <v>4</v>
      </c>
      <c r="AB27" s="58">
        <v>4</v>
      </c>
      <c r="AC27" s="58">
        <v>0</v>
      </c>
      <c r="AD27" s="58">
        <v>0</v>
      </c>
      <c r="AE27" s="59"/>
      <c r="AF27" s="60"/>
      <c r="AG27" s="61"/>
      <c r="AH27" s="62"/>
    </row>
    <row r="28" spans="1:34" s="75" customFormat="1" ht="19.899999999999999" customHeight="1">
      <c r="A28" s="52"/>
      <c r="B28" s="53"/>
      <c r="C28" s="54"/>
      <c r="D28" s="54"/>
      <c r="E28" s="52"/>
      <c r="F28" s="54"/>
      <c r="G28" s="55" t="s">
        <v>42</v>
      </c>
      <c r="H28" s="56">
        <v>746</v>
      </c>
      <c r="I28" s="57">
        <v>650</v>
      </c>
      <c r="J28" s="58"/>
      <c r="K28" s="58">
        <v>123.5</v>
      </c>
      <c r="L28" s="58">
        <v>240.5</v>
      </c>
      <c r="M28" s="58">
        <v>188.5</v>
      </c>
      <c r="N28" s="58">
        <v>65</v>
      </c>
      <c r="O28" s="59">
        <v>32.5</v>
      </c>
      <c r="P28" s="57">
        <v>68</v>
      </c>
      <c r="Q28" s="58">
        <v>16</v>
      </c>
      <c r="R28" s="58">
        <v>18</v>
      </c>
      <c r="S28" s="58">
        <v>18</v>
      </c>
      <c r="T28" s="58">
        <v>16</v>
      </c>
      <c r="U28" s="57">
        <v>14</v>
      </c>
      <c r="V28" s="58">
        <v>4</v>
      </c>
      <c r="W28" s="58">
        <v>4</v>
      </c>
      <c r="X28" s="58">
        <v>4</v>
      </c>
      <c r="Y28" s="58">
        <v>2</v>
      </c>
      <c r="Z28" s="57">
        <v>14</v>
      </c>
      <c r="AA28" s="58">
        <v>4</v>
      </c>
      <c r="AB28" s="58">
        <v>4</v>
      </c>
      <c r="AC28" s="58">
        <v>4</v>
      </c>
      <c r="AD28" s="58">
        <v>2</v>
      </c>
      <c r="AE28" s="59"/>
      <c r="AF28" s="60"/>
      <c r="AG28" s="61"/>
      <c r="AH28" s="62"/>
    </row>
    <row r="29" spans="1:34" s="11" customFormat="1" ht="19.899999999999999" customHeight="1">
      <c r="A29" s="31"/>
      <c r="B29" s="32">
        <v>46079</v>
      </c>
      <c r="C29" s="33"/>
      <c r="D29" s="33" t="s">
        <v>49</v>
      </c>
      <c r="E29" s="31" t="s">
        <v>40</v>
      </c>
      <c r="F29" s="33" t="s">
        <v>50</v>
      </c>
      <c r="G29" s="33" t="s">
        <v>51</v>
      </c>
      <c r="H29" s="34">
        <v>1558</v>
      </c>
      <c r="I29" s="35">
        <v>1400</v>
      </c>
      <c r="J29" s="35"/>
      <c r="K29" s="35">
        <v>378</v>
      </c>
      <c r="L29" s="35">
        <v>462</v>
      </c>
      <c r="M29" s="35">
        <v>392</v>
      </c>
      <c r="N29" s="35">
        <v>140</v>
      </c>
      <c r="O29" s="36">
        <v>28</v>
      </c>
      <c r="P29" s="35">
        <v>136</v>
      </c>
      <c r="Q29" s="35">
        <v>32</v>
      </c>
      <c r="R29" s="35">
        <v>36</v>
      </c>
      <c r="S29" s="35">
        <v>36</v>
      </c>
      <c r="T29" s="35">
        <v>32</v>
      </c>
      <c r="U29" s="35">
        <v>11</v>
      </c>
      <c r="V29" s="35">
        <v>4</v>
      </c>
      <c r="W29" s="35">
        <v>4</v>
      </c>
      <c r="X29" s="35">
        <v>3</v>
      </c>
      <c r="Y29" s="35">
        <v>0</v>
      </c>
      <c r="Z29" s="35">
        <v>11</v>
      </c>
      <c r="AA29" s="35">
        <v>4</v>
      </c>
      <c r="AB29" s="35">
        <v>4</v>
      </c>
      <c r="AC29" s="35">
        <v>3</v>
      </c>
      <c r="AD29" s="35">
        <v>0</v>
      </c>
      <c r="AE29" s="36">
        <v>0</v>
      </c>
      <c r="AF29" s="37"/>
      <c r="AG29" s="38"/>
      <c r="AH29" s="39">
        <v>46211</v>
      </c>
    </row>
    <row r="30" spans="1:34" s="75" customFormat="1" ht="19.899999999999999" customHeight="1">
      <c r="A30" s="40"/>
      <c r="B30" s="41"/>
      <c r="C30" s="42"/>
      <c r="D30" s="42"/>
      <c r="E30" s="40"/>
      <c r="F30" s="43"/>
      <c r="G30" s="44" t="s">
        <v>31</v>
      </c>
      <c r="H30" s="45">
        <v>896</v>
      </c>
      <c r="I30" s="46">
        <v>800</v>
      </c>
      <c r="J30" s="47"/>
      <c r="K30" s="47">
        <v>216</v>
      </c>
      <c r="L30" s="47">
        <v>264</v>
      </c>
      <c r="M30" s="47">
        <v>224</v>
      </c>
      <c r="N30" s="47">
        <v>80</v>
      </c>
      <c r="O30" s="48">
        <v>16</v>
      </c>
      <c r="P30" s="46">
        <v>74</v>
      </c>
      <c r="Q30" s="47">
        <v>17</v>
      </c>
      <c r="R30" s="47">
        <v>20</v>
      </c>
      <c r="S30" s="47">
        <v>20</v>
      </c>
      <c r="T30" s="47">
        <v>17</v>
      </c>
      <c r="U30" s="46">
        <v>11</v>
      </c>
      <c r="V30" s="47">
        <v>4</v>
      </c>
      <c r="W30" s="47">
        <v>4</v>
      </c>
      <c r="X30" s="47">
        <v>3</v>
      </c>
      <c r="Y30" s="47">
        <v>0</v>
      </c>
      <c r="Z30" s="46">
        <v>11</v>
      </c>
      <c r="AA30" s="47">
        <v>4</v>
      </c>
      <c r="AB30" s="47">
        <v>4</v>
      </c>
      <c r="AC30" s="47">
        <v>3</v>
      </c>
      <c r="AD30" s="47">
        <v>0</v>
      </c>
      <c r="AE30" s="48"/>
      <c r="AF30" s="49"/>
      <c r="AG30" s="50"/>
      <c r="AH30" s="51"/>
    </row>
    <row r="31" spans="1:34" s="75" customFormat="1" ht="19.899999999999999" customHeight="1">
      <c r="A31" s="64"/>
      <c r="B31" s="65"/>
      <c r="C31" s="66"/>
      <c r="D31" s="66"/>
      <c r="E31" s="64"/>
      <c r="F31" s="66"/>
      <c r="G31" s="67" t="s">
        <v>42</v>
      </c>
      <c r="H31" s="68">
        <v>662</v>
      </c>
      <c r="I31" s="69">
        <v>600</v>
      </c>
      <c r="J31" s="70"/>
      <c r="K31" s="70">
        <v>162</v>
      </c>
      <c r="L31" s="70">
        <v>198</v>
      </c>
      <c r="M31" s="70">
        <v>168</v>
      </c>
      <c r="N31" s="70">
        <v>60</v>
      </c>
      <c r="O31" s="71">
        <v>12</v>
      </c>
      <c r="P31" s="69">
        <v>62</v>
      </c>
      <c r="Q31" s="70">
        <v>15</v>
      </c>
      <c r="R31" s="70">
        <v>16</v>
      </c>
      <c r="S31" s="70">
        <v>16</v>
      </c>
      <c r="T31" s="70">
        <v>15</v>
      </c>
      <c r="U31" s="69">
        <v>0</v>
      </c>
      <c r="V31" s="70">
        <v>0</v>
      </c>
      <c r="W31" s="70">
        <v>0</v>
      </c>
      <c r="X31" s="70">
        <v>0</v>
      </c>
      <c r="Y31" s="70">
        <v>0</v>
      </c>
      <c r="Z31" s="69">
        <v>0</v>
      </c>
      <c r="AA31" s="70">
        <v>0</v>
      </c>
      <c r="AB31" s="70">
        <v>0</v>
      </c>
      <c r="AC31" s="70">
        <v>0</v>
      </c>
      <c r="AD31" s="70">
        <v>0</v>
      </c>
      <c r="AE31" s="71"/>
      <c r="AF31" s="72"/>
      <c r="AG31" s="73"/>
      <c r="AH31" s="74"/>
    </row>
    <row r="32" spans="1:34" s="11" customFormat="1" ht="19.899999999999999" customHeight="1">
      <c r="A32" s="31"/>
      <c r="B32" s="32">
        <v>46079</v>
      </c>
      <c r="C32" s="33"/>
      <c r="D32" s="33" t="s">
        <v>52</v>
      </c>
      <c r="E32" s="31" t="s">
        <v>27</v>
      </c>
      <c r="F32" s="33" t="s">
        <v>53</v>
      </c>
      <c r="G32" s="33" t="s">
        <v>29</v>
      </c>
      <c r="H32" s="34">
        <v>1200</v>
      </c>
      <c r="I32" s="35">
        <v>1200</v>
      </c>
      <c r="J32" s="35"/>
      <c r="K32" s="35">
        <v>270</v>
      </c>
      <c r="L32" s="35">
        <v>462</v>
      </c>
      <c r="M32" s="35">
        <v>336</v>
      </c>
      <c r="N32" s="35">
        <v>108</v>
      </c>
      <c r="O32" s="36">
        <v>24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6">
        <v>0</v>
      </c>
      <c r="AF32" s="37"/>
      <c r="AG32" s="38"/>
      <c r="AH32" s="39">
        <v>46218</v>
      </c>
    </row>
    <row r="33" spans="1:34" s="75" customFormat="1" ht="19.899999999999999" customHeight="1">
      <c r="A33" s="40"/>
      <c r="B33" s="41"/>
      <c r="C33" s="42"/>
      <c r="D33" s="42"/>
      <c r="E33" s="40"/>
      <c r="F33" s="43"/>
      <c r="G33" s="44" t="s">
        <v>54</v>
      </c>
      <c r="H33" s="45">
        <v>600</v>
      </c>
      <c r="I33" s="46">
        <v>600</v>
      </c>
      <c r="J33" s="47"/>
      <c r="K33" s="47">
        <v>132</v>
      </c>
      <c r="L33" s="47">
        <v>234</v>
      </c>
      <c r="M33" s="47">
        <v>180</v>
      </c>
      <c r="N33" s="47">
        <v>42</v>
      </c>
      <c r="O33" s="48">
        <v>12</v>
      </c>
      <c r="P33" s="46">
        <v>0</v>
      </c>
      <c r="Q33" s="47">
        <v>0</v>
      </c>
      <c r="R33" s="47">
        <v>0</v>
      </c>
      <c r="S33" s="47">
        <v>0</v>
      </c>
      <c r="T33" s="47">
        <v>0</v>
      </c>
      <c r="U33" s="46">
        <v>0</v>
      </c>
      <c r="V33" s="47">
        <v>0</v>
      </c>
      <c r="W33" s="47">
        <v>0</v>
      </c>
      <c r="X33" s="47">
        <v>0</v>
      </c>
      <c r="Y33" s="47">
        <v>0</v>
      </c>
      <c r="Z33" s="46">
        <v>0</v>
      </c>
      <c r="AA33" s="47">
        <v>0</v>
      </c>
      <c r="AB33" s="47">
        <v>0</v>
      </c>
      <c r="AC33" s="47">
        <v>0</v>
      </c>
      <c r="AD33" s="47">
        <v>0</v>
      </c>
      <c r="AE33" s="48"/>
      <c r="AF33" s="49"/>
      <c r="AG33" s="50"/>
      <c r="AH33" s="51"/>
    </row>
    <row r="34" spans="1:34" s="75" customFormat="1" ht="19.899999999999999" customHeight="1">
      <c r="A34" s="64"/>
      <c r="B34" s="65"/>
      <c r="C34" s="66"/>
      <c r="D34" s="66"/>
      <c r="E34" s="64"/>
      <c r="F34" s="66"/>
      <c r="G34" s="67" t="s">
        <v>42</v>
      </c>
      <c r="H34" s="68">
        <v>600</v>
      </c>
      <c r="I34" s="69">
        <v>600</v>
      </c>
      <c r="J34" s="70"/>
      <c r="K34" s="70">
        <v>138</v>
      </c>
      <c r="L34" s="70">
        <v>228</v>
      </c>
      <c r="M34" s="70">
        <v>156</v>
      </c>
      <c r="N34" s="70">
        <v>66</v>
      </c>
      <c r="O34" s="71">
        <v>12</v>
      </c>
      <c r="P34" s="69">
        <v>0</v>
      </c>
      <c r="Q34" s="70">
        <v>0</v>
      </c>
      <c r="R34" s="70">
        <v>0</v>
      </c>
      <c r="S34" s="70">
        <v>0</v>
      </c>
      <c r="T34" s="70">
        <v>0</v>
      </c>
      <c r="U34" s="69">
        <v>0</v>
      </c>
      <c r="V34" s="70">
        <v>0</v>
      </c>
      <c r="W34" s="70">
        <v>0</v>
      </c>
      <c r="X34" s="70">
        <v>0</v>
      </c>
      <c r="Y34" s="70">
        <v>0</v>
      </c>
      <c r="Z34" s="69">
        <v>0</v>
      </c>
      <c r="AA34" s="70">
        <v>0</v>
      </c>
      <c r="AB34" s="70">
        <v>0</v>
      </c>
      <c r="AC34" s="70">
        <v>0</v>
      </c>
      <c r="AD34" s="70">
        <v>0</v>
      </c>
      <c r="AE34" s="71"/>
      <c r="AF34" s="72"/>
      <c r="AG34" s="73"/>
      <c r="AH34" s="74"/>
    </row>
    <row r="35" spans="1:34" s="11" customFormat="1" ht="19.899999999999999" customHeight="1">
      <c r="A35" s="31"/>
      <c r="B35" s="32">
        <v>46079</v>
      </c>
      <c r="C35" s="33"/>
      <c r="D35" s="33" t="s">
        <v>52</v>
      </c>
      <c r="E35" s="63" t="s">
        <v>43</v>
      </c>
      <c r="F35" s="33" t="s">
        <v>53</v>
      </c>
      <c r="G35" s="33" t="s">
        <v>29</v>
      </c>
      <c r="H35" s="34">
        <v>1200</v>
      </c>
      <c r="I35" s="35">
        <v>1200</v>
      </c>
      <c r="J35" s="35"/>
      <c r="K35" s="35">
        <v>270</v>
      </c>
      <c r="L35" s="35">
        <v>462</v>
      </c>
      <c r="M35" s="35">
        <v>336</v>
      </c>
      <c r="N35" s="35">
        <v>108</v>
      </c>
      <c r="O35" s="36">
        <v>24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6">
        <v>0</v>
      </c>
      <c r="AF35" s="37"/>
      <c r="AG35" s="38"/>
      <c r="AH35" s="39" t="s">
        <v>43</v>
      </c>
    </row>
    <row r="36" spans="1:34" s="75" customFormat="1" ht="19.899999999999999" customHeight="1">
      <c r="A36" s="40"/>
      <c r="B36" s="41"/>
      <c r="C36" s="42"/>
      <c r="D36" s="42"/>
      <c r="E36" s="40"/>
      <c r="F36" s="43"/>
      <c r="G36" s="44" t="s">
        <v>55</v>
      </c>
      <c r="H36" s="45">
        <v>600</v>
      </c>
      <c r="I36" s="46">
        <v>600</v>
      </c>
      <c r="J36" s="47"/>
      <c r="K36" s="47">
        <v>132</v>
      </c>
      <c r="L36" s="47">
        <v>234</v>
      </c>
      <c r="M36" s="47">
        <v>180</v>
      </c>
      <c r="N36" s="47">
        <v>42</v>
      </c>
      <c r="O36" s="48">
        <v>12</v>
      </c>
      <c r="P36" s="46">
        <v>0</v>
      </c>
      <c r="Q36" s="47">
        <v>0</v>
      </c>
      <c r="R36" s="47">
        <v>0</v>
      </c>
      <c r="S36" s="47">
        <v>0</v>
      </c>
      <c r="T36" s="47">
        <v>0</v>
      </c>
      <c r="U36" s="46">
        <v>0</v>
      </c>
      <c r="V36" s="47">
        <v>0</v>
      </c>
      <c r="W36" s="47">
        <v>0</v>
      </c>
      <c r="X36" s="47">
        <v>0</v>
      </c>
      <c r="Y36" s="47">
        <v>0</v>
      </c>
      <c r="Z36" s="46">
        <v>0</v>
      </c>
      <c r="AA36" s="47">
        <v>0</v>
      </c>
      <c r="AB36" s="47">
        <v>0</v>
      </c>
      <c r="AC36" s="47">
        <v>0</v>
      </c>
      <c r="AD36" s="47">
        <v>0</v>
      </c>
      <c r="AE36" s="48"/>
      <c r="AF36" s="49"/>
      <c r="AG36" s="50"/>
      <c r="AH36" s="51"/>
    </row>
    <row r="37" spans="1:34" s="75" customFormat="1" ht="19.899999999999999" customHeight="1">
      <c r="A37" s="64"/>
      <c r="B37" s="65"/>
      <c r="C37" s="66"/>
      <c r="D37" s="66"/>
      <c r="E37" s="64"/>
      <c r="F37" s="66"/>
      <c r="G37" s="67" t="s">
        <v>42</v>
      </c>
      <c r="H37" s="68">
        <v>600</v>
      </c>
      <c r="I37" s="69">
        <v>600</v>
      </c>
      <c r="J37" s="70"/>
      <c r="K37" s="70">
        <v>138</v>
      </c>
      <c r="L37" s="70">
        <v>228</v>
      </c>
      <c r="M37" s="70">
        <v>156</v>
      </c>
      <c r="N37" s="70">
        <v>66</v>
      </c>
      <c r="O37" s="71">
        <v>12</v>
      </c>
      <c r="P37" s="69">
        <v>0</v>
      </c>
      <c r="Q37" s="70">
        <v>0</v>
      </c>
      <c r="R37" s="70">
        <v>0</v>
      </c>
      <c r="S37" s="70">
        <v>0</v>
      </c>
      <c r="T37" s="70">
        <v>0</v>
      </c>
      <c r="U37" s="69">
        <v>0</v>
      </c>
      <c r="V37" s="70">
        <v>0</v>
      </c>
      <c r="W37" s="70">
        <v>0</v>
      </c>
      <c r="X37" s="70">
        <v>0</v>
      </c>
      <c r="Y37" s="70">
        <v>0</v>
      </c>
      <c r="Z37" s="69">
        <v>0</v>
      </c>
      <c r="AA37" s="70">
        <v>0</v>
      </c>
      <c r="AB37" s="70">
        <v>0</v>
      </c>
      <c r="AC37" s="70">
        <v>0</v>
      </c>
      <c r="AD37" s="70">
        <v>0</v>
      </c>
      <c r="AE37" s="71"/>
      <c r="AF37" s="72"/>
      <c r="AG37" s="73"/>
      <c r="AH37" s="74"/>
    </row>
    <row r="38" spans="1:34" s="11" customFormat="1" ht="19.899999999999999" customHeight="1">
      <c r="A38" s="31"/>
      <c r="B38" s="32">
        <v>46079</v>
      </c>
      <c r="C38" s="33"/>
      <c r="D38" s="33" t="s">
        <v>56</v>
      </c>
      <c r="E38" s="31" t="s">
        <v>40</v>
      </c>
      <c r="F38" s="33" t="s">
        <v>57</v>
      </c>
      <c r="G38" s="33" t="s">
        <v>29</v>
      </c>
      <c r="H38" s="34">
        <v>3692</v>
      </c>
      <c r="I38" s="35">
        <v>3400</v>
      </c>
      <c r="J38" s="35"/>
      <c r="K38" s="35">
        <v>852</v>
      </c>
      <c r="L38" s="35">
        <v>1230</v>
      </c>
      <c r="M38" s="35">
        <v>892</v>
      </c>
      <c r="N38" s="35">
        <v>358</v>
      </c>
      <c r="O38" s="36">
        <v>68</v>
      </c>
      <c r="P38" s="35">
        <v>174</v>
      </c>
      <c r="Q38" s="35">
        <v>44</v>
      </c>
      <c r="R38" s="35">
        <v>44</v>
      </c>
      <c r="S38" s="35">
        <v>44</v>
      </c>
      <c r="T38" s="35">
        <v>42</v>
      </c>
      <c r="U38" s="35">
        <v>59</v>
      </c>
      <c r="V38" s="35">
        <v>21</v>
      </c>
      <c r="W38" s="35">
        <v>19</v>
      </c>
      <c r="X38" s="35">
        <v>19</v>
      </c>
      <c r="Y38" s="35">
        <v>0</v>
      </c>
      <c r="Z38" s="35">
        <v>59</v>
      </c>
      <c r="AA38" s="35">
        <v>21</v>
      </c>
      <c r="AB38" s="35">
        <v>19</v>
      </c>
      <c r="AC38" s="35">
        <v>19</v>
      </c>
      <c r="AD38" s="35">
        <v>0</v>
      </c>
      <c r="AE38" s="36">
        <v>0</v>
      </c>
      <c r="AF38" s="37"/>
      <c r="AG38" s="38"/>
      <c r="AH38" s="39">
        <v>46225</v>
      </c>
    </row>
    <row r="39" spans="1:34" s="75" customFormat="1" ht="19.899999999999999" customHeight="1">
      <c r="A39" s="40"/>
      <c r="B39" s="41"/>
      <c r="C39" s="42"/>
      <c r="D39" s="42"/>
      <c r="E39" s="40"/>
      <c r="F39" s="43"/>
      <c r="G39" s="44" t="s">
        <v>58</v>
      </c>
      <c r="H39" s="45">
        <v>424</v>
      </c>
      <c r="I39" s="46">
        <v>400</v>
      </c>
      <c r="J39" s="47"/>
      <c r="K39" s="47">
        <v>96</v>
      </c>
      <c r="L39" s="47">
        <v>148</v>
      </c>
      <c r="M39" s="47">
        <v>104</v>
      </c>
      <c r="N39" s="47">
        <v>44</v>
      </c>
      <c r="O39" s="48">
        <v>8</v>
      </c>
      <c r="P39" s="46">
        <v>0</v>
      </c>
      <c r="Q39" s="47">
        <v>0</v>
      </c>
      <c r="R39" s="47">
        <v>0</v>
      </c>
      <c r="S39" s="47">
        <v>0</v>
      </c>
      <c r="T39" s="47">
        <v>0</v>
      </c>
      <c r="U39" s="46">
        <v>12</v>
      </c>
      <c r="V39" s="47">
        <v>4</v>
      </c>
      <c r="W39" s="47">
        <v>4</v>
      </c>
      <c r="X39" s="47">
        <v>4</v>
      </c>
      <c r="Y39" s="47">
        <v>0</v>
      </c>
      <c r="Z39" s="46">
        <v>12</v>
      </c>
      <c r="AA39" s="47">
        <v>4</v>
      </c>
      <c r="AB39" s="47">
        <v>4</v>
      </c>
      <c r="AC39" s="47">
        <v>4</v>
      </c>
      <c r="AD39" s="47">
        <v>0</v>
      </c>
      <c r="AE39" s="48"/>
      <c r="AF39" s="49"/>
      <c r="AG39" s="50"/>
      <c r="AH39" s="51"/>
    </row>
    <row r="40" spans="1:34" s="75" customFormat="1" ht="19.899999999999999" customHeight="1">
      <c r="A40" s="52"/>
      <c r="B40" s="53"/>
      <c r="C40" s="54"/>
      <c r="D40" s="54"/>
      <c r="E40" s="52"/>
      <c r="F40" s="54"/>
      <c r="G40" s="55" t="s">
        <v>59</v>
      </c>
      <c r="H40" s="56">
        <v>594</v>
      </c>
      <c r="I40" s="57">
        <v>500</v>
      </c>
      <c r="J40" s="58"/>
      <c r="K40" s="58">
        <v>120</v>
      </c>
      <c r="L40" s="58">
        <v>185</v>
      </c>
      <c r="M40" s="58">
        <v>130</v>
      </c>
      <c r="N40" s="58">
        <v>55</v>
      </c>
      <c r="O40" s="59">
        <v>10</v>
      </c>
      <c r="P40" s="57">
        <v>70</v>
      </c>
      <c r="Q40" s="58">
        <v>18</v>
      </c>
      <c r="R40" s="58">
        <v>18</v>
      </c>
      <c r="S40" s="58">
        <v>18</v>
      </c>
      <c r="T40" s="58">
        <v>16</v>
      </c>
      <c r="U40" s="57">
        <v>12</v>
      </c>
      <c r="V40" s="58">
        <v>4</v>
      </c>
      <c r="W40" s="58">
        <v>4</v>
      </c>
      <c r="X40" s="58">
        <v>4</v>
      </c>
      <c r="Y40" s="58">
        <v>0</v>
      </c>
      <c r="Z40" s="57">
        <v>12</v>
      </c>
      <c r="AA40" s="58">
        <v>4</v>
      </c>
      <c r="AB40" s="58">
        <v>4</v>
      </c>
      <c r="AC40" s="58">
        <v>4</v>
      </c>
      <c r="AD40" s="58">
        <v>0</v>
      </c>
      <c r="AE40" s="59"/>
      <c r="AF40" s="60"/>
      <c r="AG40" s="61"/>
      <c r="AH40" s="62"/>
    </row>
    <row r="41" spans="1:34" s="75" customFormat="1" ht="19.899999999999999" customHeight="1">
      <c r="A41" s="52"/>
      <c r="B41" s="53"/>
      <c r="C41" s="54"/>
      <c r="D41" s="54"/>
      <c r="E41" s="52"/>
      <c r="F41" s="54"/>
      <c r="G41" s="55" t="s">
        <v>60</v>
      </c>
      <c r="H41" s="56">
        <v>338</v>
      </c>
      <c r="I41" s="57">
        <v>300</v>
      </c>
      <c r="J41" s="58"/>
      <c r="K41" s="58">
        <v>72</v>
      </c>
      <c r="L41" s="58">
        <v>111</v>
      </c>
      <c r="M41" s="58">
        <v>78</v>
      </c>
      <c r="N41" s="58">
        <v>33</v>
      </c>
      <c r="O41" s="59">
        <v>6</v>
      </c>
      <c r="P41" s="57">
        <v>32</v>
      </c>
      <c r="Q41" s="58">
        <v>8</v>
      </c>
      <c r="R41" s="58">
        <v>8</v>
      </c>
      <c r="S41" s="58">
        <v>8</v>
      </c>
      <c r="T41" s="58">
        <v>8</v>
      </c>
      <c r="U41" s="57">
        <v>3</v>
      </c>
      <c r="V41" s="58">
        <v>1</v>
      </c>
      <c r="W41" s="58">
        <v>1</v>
      </c>
      <c r="X41" s="58">
        <v>1</v>
      </c>
      <c r="Y41" s="58">
        <v>0</v>
      </c>
      <c r="Z41" s="57">
        <v>3</v>
      </c>
      <c r="AA41" s="58">
        <v>1</v>
      </c>
      <c r="AB41" s="58">
        <v>1</v>
      </c>
      <c r="AC41" s="58">
        <v>1</v>
      </c>
      <c r="AD41" s="58">
        <v>0</v>
      </c>
      <c r="AE41" s="59"/>
      <c r="AF41" s="60"/>
      <c r="AG41" s="61"/>
      <c r="AH41" s="62"/>
    </row>
    <row r="42" spans="1:34" s="75" customFormat="1" ht="19.899999999999999" customHeight="1">
      <c r="A42" s="52"/>
      <c r="B42" s="53"/>
      <c r="C42" s="54"/>
      <c r="D42" s="54"/>
      <c r="E42" s="52"/>
      <c r="F42" s="54"/>
      <c r="G42" s="77" t="s">
        <v>61</v>
      </c>
      <c r="H42" s="56">
        <v>400</v>
      </c>
      <c r="I42" s="57">
        <v>400</v>
      </c>
      <c r="J42" s="58"/>
      <c r="K42" s="58">
        <v>132</v>
      </c>
      <c r="L42" s="58">
        <v>120</v>
      </c>
      <c r="M42" s="58">
        <v>112</v>
      </c>
      <c r="N42" s="58">
        <v>28</v>
      </c>
      <c r="O42" s="59">
        <v>8</v>
      </c>
      <c r="P42" s="57">
        <v>0</v>
      </c>
      <c r="Q42" s="58">
        <v>0</v>
      </c>
      <c r="R42" s="58">
        <v>0</v>
      </c>
      <c r="S42" s="58">
        <v>0</v>
      </c>
      <c r="T42" s="58">
        <v>0</v>
      </c>
      <c r="U42" s="57">
        <v>0</v>
      </c>
      <c r="V42" s="58">
        <v>0</v>
      </c>
      <c r="W42" s="58">
        <v>0</v>
      </c>
      <c r="X42" s="58">
        <v>0</v>
      </c>
      <c r="Y42" s="58">
        <v>0</v>
      </c>
      <c r="Z42" s="57">
        <v>0</v>
      </c>
      <c r="AA42" s="58">
        <v>0</v>
      </c>
      <c r="AB42" s="58">
        <v>0</v>
      </c>
      <c r="AC42" s="58">
        <v>0</v>
      </c>
      <c r="AD42" s="58">
        <v>0</v>
      </c>
      <c r="AE42" s="59"/>
      <c r="AF42" s="60"/>
      <c r="AG42" s="61"/>
      <c r="AH42" s="62"/>
    </row>
    <row r="43" spans="1:34" s="75" customFormat="1" ht="19.899999999999999" customHeight="1">
      <c r="A43" s="52"/>
      <c r="B43" s="53"/>
      <c r="C43" s="54"/>
      <c r="D43" s="54"/>
      <c r="E43" s="52"/>
      <c r="F43" s="54"/>
      <c r="G43" s="55" t="s">
        <v>62</v>
      </c>
      <c r="H43" s="56">
        <v>516</v>
      </c>
      <c r="I43" s="57">
        <v>500</v>
      </c>
      <c r="J43" s="58"/>
      <c r="K43" s="58">
        <v>120</v>
      </c>
      <c r="L43" s="58">
        <v>185</v>
      </c>
      <c r="M43" s="58">
        <v>130</v>
      </c>
      <c r="N43" s="58">
        <v>55</v>
      </c>
      <c r="O43" s="59">
        <v>10</v>
      </c>
      <c r="P43" s="57">
        <v>0</v>
      </c>
      <c r="Q43" s="58">
        <v>0</v>
      </c>
      <c r="R43" s="58">
        <v>0</v>
      </c>
      <c r="S43" s="58">
        <v>0</v>
      </c>
      <c r="T43" s="58">
        <v>0</v>
      </c>
      <c r="U43" s="57">
        <v>8</v>
      </c>
      <c r="V43" s="58">
        <v>4</v>
      </c>
      <c r="W43" s="58">
        <v>2</v>
      </c>
      <c r="X43" s="58">
        <v>2</v>
      </c>
      <c r="Y43" s="58">
        <v>0</v>
      </c>
      <c r="Z43" s="57">
        <v>8</v>
      </c>
      <c r="AA43" s="58">
        <v>4</v>
      </c>
      <c r="AB43" s="58">
        <v>2</v>
      </c>
      <c r="AC43" s="58">
        <v>2</v>
      </c>
      <c r="AD43" s="58">
        <v>0</v>
      </c>
      <c r="AE43" s="59"/>
      <c r="AF43" s="60"/>
      <c r="AG43" s="61"/>
      <c r="AH43" s="62"/>
    </row>
    <row r="44" spans="1:34" s="75" customFormat="1" ht="19.899999999999999" customHeight="1">
      <c r="A44" s="52"/>
      <c r="B44" s="53"/>
      <c r="C44" s="54"/>
      <c r="D44" s="54"/>
      <c r="E44" s="52"/>
      <c r="F44" s="54"/>
      <c r="G44" s="55" t="s">
        <v>63</v>
      </c>
      <c r="H44" s="56">
        <v>624</v>
      </c>
      <c r="I44" s="57">
        <v>600</v>
      </c>
      <c r="J44" s="58"/>
      <c r="K44" s="58">
        <v>144</v>
      </c>
      <c r="L44" s="58">
        <v>222</v>
      </c>
      <c r="M44" s="58">
        <v>156</v>
      </c>
      <c r="N44" s="58">
        <v>66</v>
      </c>
      <c r="O44" s="59">
        <v>12</v>
      </c>
      <c r="P44" s="57">
        <v>0</v>
      </c>
      <c r="Q44" s="58">
        <v>0</v>
      </c>
      <c r="R44" s="58">
        <v>0</v>
      </c>
      <c r="S44" s="58">
        <v>0</v>
      </c>
      <c r="T44" s="58">
        <v>0</v>
      </c>
      <c r="U44" s="57">
        <v>12</v>
      </c>
      <c r="V44" s="58">
        <v>4</v>
      </c>
      <c r="W44" s="58">
        <v>4</v>
      </c>
      <c r="X44" s="58">
        <v>4</v>
      </c>
      <c r="Y44" s="58">
        <v>0</v>
      </c>
      <c r="Z44" s="57">
        <v>12</v>
      </c>
      <c r="AA44" s="58">
        <v>4</v>
      </c>
      <c r="AB44" s="58">
        <v>4</v>
      </c>
      <c r="AC44" s="58">
        <v>4</v>
      </c>
      <c r="AD44" s="58">
        <v>0</v>
      </c>
      <c r="AE44" s="59"/>
      <c r="AF44" s="60"/>
      <c r="AG44" s="61"/>
      <c r="AH44" s="62"/>
    </row>
    <row r="45" spans="1:34" s="75" customFormat="1" ht="19.899999999999999" customHeight="1">
      <c r="A45" s="64"/>
      <c r="B45" s="65"/>
      <c r="C45" s="66"/>
      <c r="D45" s="66"/>
      <c r="E45" s="64"/>
      <c r="F45" s="66"/>
      <c r="G45" s="67" t="s">
        <v>37</v>
      </c>
      <c r="H45" s="68">
        <v>796</v>
      </c>
      <c r="I45" s="69">
        <v>700</v>
      </c>
      <c r="J45" s="70"/>
      <c r="K45" s="70">
        <v>168</v>
      </c>
      <c r="L45" s="70">
        <v>259</v>
      </c>
      <c r="M45" s="70">
        <v>182</v>
      </c>
      <c r="N45" s="70">
        <v>77</v>
      </c>
      <c r="O45" s="71">
        <v>14</v>
      </c>
      <c r="P45" s="69">
        <v>72</v>
      </c>
      <c r="Q45" s="70">
        <v>18</v>
      </c>
      <c r="R45" s="70">
        <v>18</v>
      </c>
      <c r="S45" s="70">
        <v>18</v>
      </c>
      <c r="T45" s="70">
        <v>18</v>
      </c>
      <c r="U45" s="69">
        <v>12</v>
      </c>
      <c r="V45" s="70">
        <v>4</v>
      </c>
      <c r="W45" s="70">
        <v>4</v>
      </c>
      <c r="X45" s="70">
        <v>4</v>
      </c>
      <c r="Y45" s="70">
        <v>0</v>
      </c>
      <c r="Z45" s="69">
        <v>12</v>
      </c>
      <c r="AA45" s="70">
        <v>4</v>
      </c>
      <c r="AB45" s="70">
        <v>4</v>
      </c>
      <c r="AC45" s="70">
        <v>4</v>
      </c>
      <c r="AD45" s="70">
        <v>0</v>
      </c>
      <c r="AE45" s="71"/>
      <c r="AF45" s="72"/>
      <c r="AG45" s="73"/>
      <c r="AH45" s="74"/>
    </row>
    <row r="46" spans="1:34">
      <c r="H46" s="78">
        <f>SUMIF($G$6:$G$45,"TTL",H6:H45)</f>
        <v>17608</v>
      </c>
    </row>
    <row r="47" spans="1:34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34" s="23" customFormat="1" ht="19.899999999999999" customHeight="1">
      <c r="A48" s="99" t="s">
        <v>1</v>
      </c>
      <c r="B48" s="105" t="s">
        <v>64</v>
      </c>
      <c r="C48" s="99" t="s">
        <v>65</v>
      </c>
      <c r="D48" s="99" t="s">
        <v>66</v>
      </c>
      <c r="E48" s="99" t="s">
        <v>5</v>
      </c>
      <c r="F48" s="99" t="s">
        <v>6</v>
      </c>
      <c r="G48" s="101" t="s">
        <v>67</v>
      </c>
      <c r="H48" s="15" t="s">
        <v>51</v>
      </c>
      <c r="I48" s="16" t="s">
        <v>68</v>
      </c>
      <c r="J48" s="17"/>
      <c r="K48" s="17"/>
      <c r="L48" s="17"/>
      <c r="M48" s="17"/>
      <c r="N48" s="17"/>
      <c r="O48" s="18"/>
      <c r="P48" s="19" t="s">
        <v>69</v>
      </c>
      <c r="Q48" s="19"/>
      <c r="R48" s="19"/>
      <c r="S48" s="19"/>
      <c r="T48" s="19"/>
      <c r="U48" s="20" t="s">
        <v>11</v>
      </c>
      <c r="V48" s="19"/>
      <c r="W48" s="19"/>
      <c r="X48" s="19"/>
      <c r="Y48" s="19"/>
      <c r="Z48" s="20" t="s">
        <v>12</v>
      </c>
      <c r="AA48" s="19"/>
      <c r="AB48" s="19"/>
      <c r="AC48" s="19"/>
      <c r="AD48" s="19"/>
      <c r="AE48" s="21"/>
      <c r="AF48" s="14" t="s">
        <v>13</v>
      </c>
      <c r="AG48" s="22" t="s">
        <v>14</v>
      </c>
      <c r="AH48" s="22" t="s">
        <v>13</v>
      </c>
    </row>
    <row r="49" spans="1:34" s="23" customFormat="1" ht="40.15" customHeight="1">
      <c r="A49" s="100"/>
      <c r="B49" s="106"/>
      <c r="C49" s="100"/>
      <c r="D49" s="100"/>
      <c r="E49" s="100"/>
      <c r="F49" s="100"/>
      <c r="G49" s="102"/>
      <c r="H49" s="25"/>
      <c r="I49" s="24"/>
      <c r="J49" s="26" t="s">
        <v>70</v>
      </c>
      <c r="K49" s="26" t="s">
        <v>71</v>
      </c>
      <c r="L49" s="26" t="s">
        <v>17</v>
      </c>
      <c r="M49" s="26" t="s">
        <v>72</v>
      </c>
      <c r="N49" s="26" t="s">
        <v>19</v>
      </c>
      <c r="O49" s="26" t="s">
        <v>20</v>
      </c>
      <c r="P49" s="27"/>
      <c r="Q49" s="28" t="s">
        <v>16</v>
      </c>
      <c r="R49" s="28" t="s">
        <v>17</v>
      </c>
      <c r="S49" s="28" t="s">
        <v>72</v>
      </c>
      <c r="T49" s="28" t="s">
        <v>19</v>
      </c>
      <c r="U49" s="24"/>
      <c r="V49" s="28" t="s">
        <v>16</v>
      </c>
      <c r="W49" s="28" t="s">
        <v>17</v>
      </c>
      <c r="X49" s="29" t="s">
        <v>73</v>
      </c>
      <c r="Y49" s="79"/>
      <c r="Z49" s="24"/>
      <c r="AA49" s="28" t="s">
        <v>16</v>
      </c>
      <c r="AB49" s="28" t="s">
        <v>22</v>
      </c>
      <c r="AC49" s="28" t="s">
        <v>18</v>
      </c>
      <c r="AD49" s="28" t="s">
        <v>19</v>
      </c>
      <c r="AE49" s="28" t="s">
        <v>20</v>
      </c>
      <c r="AF49" s="24" t="s">
        <v>23</v>
      </c>
      <c r="AG49" s="30" t="s">
        <v>74</v>
      </c>
      <c r="AH49" s="30" t="s">
        <v>25</v>
      </c>
    </row>
    <row r="50" spans="1:34" s="23" customFormat="1" ht="19.899999999999999" customHeight="1">
      <c r="A50" s="31"/>
      <c r="B50" s="32">
        <v>46072</v>
      </c>
      <c r="C50" s="33"/>
      <c r="D50" s="33" t="s">
        <v>75</v>
      </c>
      <c r="E50" s="31" t="s">
        <v>35</v>
      </c>
      <c r="F50" s="33" t="s">
        <v>76</v>
      </c>
      <c r="G50" s="33" t="s">
        <v>29</v>
      </c>
      <c r="H50" s="34">
        <f t="shared" ref="H50:H57" si="13">+I50+P50+U50+Z50</f>
        <v>1893</v>
      </c>
      <c r="I50" s="35">
        <f>SUM(I51:I53)</f>
        <v>1800</v>
      </c>
      <c r="J50" s="35"/>
      <c r="K50" s="35">
        <f t="shared" ref="K50:T50" si="14">SUM(K51:K53)</f>
        <v>320</v>
      </c>
      <c r="L50" s="35">
        <f t="shared" si="14"/>
        <v>630</v>
      </c>
      <c r="M50" s="35">
        <f t="shared" si="14"/>
        <v>510</v>
      </c>
      <c r="N50" s="35">
        <f t="shared" si="14"/>
        <v>200</v>
      </c>
      <c r="O50" s="36">
        <f t="shared" si="14"/>
        <v>140</v>
      </c>
      <c r="P50" s="35">
        <f t="shared" si="14"/>
        <v>60</v>
      </c>
      <c r="Q50" s="35">
        <f t="shared" si="14"/>
        <v>15</v>
      </c>
      <c r="R50" s="35">
        <f t="shared" si="14"/>
        <v>15</v>
      </c>
      <c r="S50" s="35">
        <f t="shared" si="14"/>
        <v>15</v>
      </c>
      <c r="T50" s="35">
        <f t="shared" si="14"/>
        <v>15</v>
      </c>
      <c r="U50" s="35">
        <f t="shared" ref="U50:U57" si="15">SUM(V50:X50)</f>
        <v>33</v>
      </c>
      <c r="V50" s="35">
        <f t="shared" ref="V50:X50" si="16">SUM(V51:V53)</f>
        <v>12</v>
      </c>
      <c r="W50" s="35">
        <f t="shared" si="16"/>
        <v>12</v>
      </c>
      <c r="X50" s="35">
        <f t="shared" si="16"/>
        <v>9</v>
      </c>
      <c r="Y50" s="35"/>
      <c r="Z50" s="35">
        <f t="shared" ref="Z50" si="17">SUM(Z51:Z53)</f>
        <v>0</v>
      </c>
      <c r="AA50" s="35"/>
      <c r="AB50" s="35">
        <f t="shared" ref="AB50:AE50" si="18">SUM(AB51:AB53)</f>
        <v>0</v>
      </c>
      <c r="AC50" s="35">
        <f t="shared" si="18"/>
        <v>0</v>
      </c>
      <c r="AD50" s="35">
        <f t="shared" si="18"/>
        <v>0</v>
      </c>
      <c r="AE50" s="36">
        <f t="shared" si="18"/>
        <v>0</v>
      </c>
      <c r="AF50" s="37"/>
      <c r="AG50" s="38"/>
      <c r="AH50" s="39">
        <v>46199</v>
      </c>
    </row>
    <row r="51" spans="1:34" ht="19.899999999999999" customHeight="1">
      <c r="A51" s="40"/>
      <c r="B51" s="41"/>
      <c r="C51" s="80"/>
      <c r="D51" s="42"/>
      <c r="E51" s="40"/>
      <c r="F51" s="43"/>
      <c r="G51" s="44" t="s">
        <v>59</v>
      </c>
      <c r="H51" s="45">
        <f t="shared" si="13"/>
        <v>711</v>
      </c>
      <c r="I51" s="46">
        <f t="shared" ref="I51:I53" si="19">SUM(K51:O51)</f>
        <v>700</v>
      </c>
      <c r="J51" s="47"/>
      <c r="K51" s="47">
        <v>140</v>
      </c>
      <c r="L51" s="47">
        <v>270</v>
      </c>
      <c r="M51" s="47">
        <v>190</v>
      </c>
      <c r="N51" s="47">
        <v>60</v>
      </c>
      <c r="O51" s="48">
        <v>40</v>
      </c>
      <c r="P51" s="46">
        <f t="shared" ref="P51:P53" si="20">SUM(Q51:T51)</f>
        <v>0</v>
      </c>
      <c r="Q51" s="47"/>
      <c r="R51" s="47"/>
      <c r="S51" s="47"/>
      <c r="T51" s="47"/>
      <c r="U51" s="46">
        <f t="shared" si="15"/>
        <v>11</v>
      </c>
      <c r="V51" s="47">
        <v>4</v>
      </c>
      <c r="W51" s="47">
        <v>4</v>
      </c>
      <c r="X51" s="47">
        <v>3</v>
      </c>
      <c r="Y51" s="47"/>
      <c r="Z51" s="46">
        <f t="shared" ref="Z51:Z53" si="21">SUM(AB51:AE51)</f>
        <v>0</v>
      </c>
      <c r="AA51" s="47"/>
      <c r="AB51" s="47"/>
      <c r="AC51" s="47"/>
      <c r="AD51" s="47"/>
      <c r="AE51" s="48"/>
      <c r="AF51" s="49"/>
      <c r="AG51" s="50"/>
      <c r="AH51" s="51"/>
    </row>
    <row r="52" spans="1:34" ht="19.899999999999999" customHeight="1">
      <c r="A52" s="52"/>
      <c r="B52" s="53"/>
      <c r="C52" s="54"/>
      <c r="D52" s="54"/>
      <c r="E52" s="52"/>
      <c r="F52" s="54"/>
      <c r="G52" s="55" t="s">
        <v>42</v>
      </c>
      <c r="H52" s="56">
        <f t="shared" si="13"/>
        <v>671</v>
      </c>
      <c r="I52" s="57">
        <f t="shared" si="19"/>
        <v>600</v>
      </c>
      <c r="J52" s="58"/>
      <c r="K52" s="58">
        <v>120</v>
      </c>
      <c r="L52" s="58">
        <v>230</v>
      </c>
      <c r="M52" s="58">
        <v>170</v>
      </c>
      <c r="N52" s="58">
        <v>50</v>
      </c>
      <c r="O52" s="59">
        <v>30</v>
      </c>
      <c r="P52" s="57">
        <f t="shared" si="20"/>
        <v>60</v>
      </c>
      <c r="Q52" s="58">
        <v>15</v>
      </c>
      <c r="R52" s="58">
        <v>15</v>
      </c>
      <c r="S52" s="58">
        <v>15</v>
      </c>
      <c r="T52" s="58">
        <v>15</v>
      </c>
      <c r="U52" s="57">
        <f t="shared" si="15"/>
        <v>11</v>
      </c>
      <c r="V52" s="58">
        <v>4</v>
      </c>
      <c r="W52" s="58">
        <v>4</v>
      </c>
      <c r="X52" s="58">
        <v>3</v>
      </c>
      <c r="Y52" s="58"/>
      <c r="Z52" s="57">
        <f t="shared" si="21"/>
        <v>0</v>
      </c>
      <c r="AA52" s="58"/>
      <c r="AB52" s="58"/>
      <c r="AC52" s="58"/>
      <c r="AD52" s="58"/>
      <c r="AE52" s="59"/>
      <c r="AF52" s="60"/>
      <c r="AG52" s="61"/>
      <c r="AH52" s="62"/>
    </row>
    <row r="53" spans="1:34" ht="19.899999999999999" customHeight="1">
      <c r="A53" s="52"/>
      <c r="B53" s="53"/>
      <c r="C53" s="54"/>
      <c r="D53" s="54"/>
      <c r="E53" s="52"/>
      <c r="F53" s="54"/>
      <c r="G53" s="55" t="s">
        <v>77</v>
      </c>
      <c r="H53" s="56">
        <f t="shared" si="13"/>
        <v>511</v>
      </c>
      <c r="I53" s="57">
        <f t="shared" si="19"/>
        <v>500</v>
      </c>
      <c r="J53" s="58"/>
      <c r="K53" s="58">
        <v>60</v>
      </c>
      <c r="L53" s="58">
        <v>130</v>
      </c>
      <c r="M53" s="58">
        <v>150</v>
      </c>
      <c r="N53" s="58">
        <v>90</v>
      </c>
      <c r="O53" s="59">
        <v>70</v>
      </c>
      <c r="P53" s="57">
        <f t="shared" si="20"/>
        <v>0</v>
      </c>
      <c r="Q53" s="58"/>
      <c r="R53" s="58"/>
      <c r="S53" s="58"/>
      <c r="T53" s="58"/>
      <c r="U53" s="57">
        <f t="shared" si="15"/>
        <v>11</v>
      </c>
      <c r="V53" s="58">
        <v>4</v>
      </c>
      <c r="W53" s="58">
        <v>4</v>
      </c>
      <c r="X53" s="58">
        <v>3</v>
      </c>
      <c r="Y53" s="58"/>
      <c r="Z53" s="57">
        <f t="shared" si="21"/>
        <v>0</v>
      </c>
      <c r="AA53" s="58"/>
      <c r="AB53" s="58"/>
      <c r="AC53" s="58"/>
      <c r="AD53" s="58"/>
      <c r="AE53" s="59"/>
      <c r="AF53" s="60"/>
      <c r="AG53" s="61"/>
      <c r="AH53" s="62"/>
    </row>
    <row r="54" spans="1:34" s="23" customFormat="1" ht="19.899999999999999" customHeight="1">
      <c r="A54" s="31"/>
      <c r="B54" s="32">
        <v>46072</v>
      </c>
      <c r="C54" s="33"/>
      <c r="D54" s="33" t="s">
        <v>78</v>
      </c>
      <c r="E54" s="31" t="s">
        <v>35</v>
      </c>
      <c r="F54" s="33" t="s">
        <v>79</v>
      </c>
      <c r="G54" s="33" t="s">
        <v>29</v>
      </c>
      <c r="H54" s="34">
        <f t="shared" si="13"/>
        <v>1546</v>
      </c>
      <c r="I54" s="35">
        <f>SUM(I55:I57)</f>
        <v>1400</v>
      </c>
      <c r="J54" s="35"/>
      <c r="K54" s="35">
        <f t="shared" ref="K54:T54" si="22">SUM(K55:K57)</f>
        <v>270</v>
      </c>
      <c r="L54" s="35">
        <f t="shared" si="22"/>
        <v>500</v>
      </c>
      <c r="M54" s="35">
        <f t="shared" si="22"/>
        <v>405</v>
      </c>
      <c r="N54" s="35">
        <f t="shared" si="22"/>
        <v>140</v>
      </c>
      <c r="O54" s="36">
        <f t="shared" si="22"/>
        <v>85</v>
      </c>
      <c r="P54" s="35">
        <f t="shared" si="22"/>
        <v>128</v>
      </c>
      <c r="Q54" s="35">
        <f t="shared" si="22"/>
        <v>31</v>
      </c>
      <c r="R54" s="35">
        <f t="shared" si="22"/>
        <v>33</v>
      </c>
      <c r="S54" s="35">
        <f t="shared" si="22"/>
        <v>33</v>
      </c>
      <c r="T54" s="35">
        <f t="shared" si="22"/>
        <v>31</v>
      </c>
      <c r="U54" s="35">
        <f t="shared" si="15"/>
        <v>6</v>
      </c>
      <c r="V54" s="35">
        <f t="shared" ref="V54:X54" si="23">SUM(V55:V57)</f>
        <v>2</v>
      </c>
      <c r="W54" s="35">
        <f t="shared" si="23"/>
        <v>2</v>
      </c>
      <c r="X54" s="35">
        <f t="shared" si="23"/>
        <v>2</v>
      </c>
      <c r="Y54" s="35"/>
      <c r="Z54" s="35">
        <f t="shared" ref="Z54" si="24">SUM(Z55:Z57)</f>
        <v>12</v>
      </c>
      <c r="AA54" s="35"/>
      <c r="AB54" s="35">
        <f t="shared" ref="AB54:AE54" si="25">SUM(AB55:AB57)</f>
        <v>3</v>
      </c>
      <c r="AC54" s="35">
        <f t="shared" si="25"/>
        <v>3</v>
      </c>
      <c r="AD54" s="35">
        <f t="shared" si="25"/>
        <v>3</v>
      </c>
      <c r="AE54" s="35">
        <f t="shared" si="25"/>
        <v>3</v>
      </c>
      <c r="AF54" s="37"/>
      <c r="AG54" s="38"/>
      <c r="AH54" s="39">
        <v>46199</v>
      </c>
    </row>
    <row r="55" spans="1:34" ht="19.899999999999999" customHeight="1">
      <c r="A55" s="40"/>
      <c r="B55" s="41"/>
      <c r="C55" s="80"/>
      <c r="D55" s="42"/>
      <c r="E55" s="40"/>
      <c r="F55" s="43"/>
      <c r="G55" s="44" t="s">
        <v>80</v>
      </c>
      <c r="H55" s="45">
        <f t="shared" si="13"/>
        <v>564</v>
      </c>
      <c r="I55" s="46">
        <f t="shared" ref="I55:I57" si="26">SUM(K55:O55)</f>
        <v>500</v>
      </c>
      <c r="J55" s="47"/>
      <c r="K55" s="47">
        <v>100</v>
      </c>
      <c r="L55" s="47">
        <v>190</v>
      </c>
      <c r="M55" s="47">
        <v>140</v>
      </c>
      <c r="N55" s="47">
        <v>40</v>
      </c>
      <c r="O55" s="48">
        <v>30</v>
      </c>
      <c r="P55" s="46">
        <f t="shared" ref="P55:P57" si="27">SUM(Q55:T55)</f>
        <v>60</v>
      </c>
      <c r="Q55" s="47">
        <v>15</v>
      </c>
      <c r="R55" s="47">
        <v>15</v>
      </c>
      <c r="S55" s="47">
        <v>15</v>
      </c>
      <c r="T55" s="47">
        <v>15</v>
      </c>
      <c r="U55" s="46">
        <f t="shared" si="15"/>
        <v>0</v>
      </c>
      <c r="V55" s="47"/>
      <c r="W55" s="47"/>
      <c r="X55" s="47"/>
      <c r="Y55" s="47"/>
      <c r="Z55" s="46">
        <f t="shared" ref="Z55:Z57" si="28">SUM(AB55:AE55)</f>
        <v>4</v>
      </c>
      <c r="AA55" s="47"/>
      <c r="AB55" s="47">
        <v>1</v>
      </c>
      <c r="AC55" s="47">
        <v>1</v>
      </c>
      <c r="AD55" s="47">
        <v>1</v>
      </c>
      <c r="AE55" s="48">
        <v>1</v>
      </c>
      <c r="AF55" s="49"/>
      <c r="AG55" s="50"/>
      <c r="AH55" s="51"/>
    </row>
    <row r="56" spans="1:34" ht="19.899999999999999" customHeight="1">
      <c r="A56" s="52"/>
      <c r="B56" s="53"/>
      <c r="C56" s="54"/>
      <c r="D56" s="54"/>
      <c r="E56" s="52"/>
      <c r="F56" s="54"/>
      <c r="G56" s="55" t="s">
        <v>81</v>
      </c>
      <c r="H56" s="56">
        <f t="shared" si="13"/>
        <v>672</v>
      </c>
      <c r="I56" s="57">
        <f t="shared" si="26"/>
        <v>600</v>
      </c>
      <c r="J56" s="58"/>
      <c r="K56" s="58">
        <v>110</v>
      </c>
      <c r="L56" s="58">
        <v>200</v>
      </c>
      <c r="M56" s="58">
        <v>180</v>
      </c>
      <c r="N56" s="58">
        <v>70</v>
      </c>
      <c r="O56" s="59">
        <v>40</v>
      </c>
      <c r="P56" s="57">
        <f t="shared" si="27"/>
        <v>68</v>
      </c>
      <c r="Q56" s="58">
        <v>16</v>
      </c>
      <c r="R56" s="58">
        <v>18</v>
      </c>
      <c r="S56" s="58">
        <v>18</v>
      </c>
      <c r="T56" s="58">
        <v>16</v>
      </c>
      <c r="U56" s="57">
        <f t="shared" si="15"/>
        <v>0</v>
      </c>
      <c r="V56" s="58"/>
      <c r="W56" s="58"/>
      <c r="X56" s="58"/>
      <c r="Y56" s="58"/>
      <c r="Z56" s="57">
        <f t="shared" si="28"/>
        <v>4</v>
      </c>
      <c r="AA56" s="58"/>
      <c r="AB56" s="58">
        <v>1</v>
      </c>
      <c r="AC56" s="58">
        <v>1</v>
      </c>
      <c r="AD56" s="58">
        <v>1</v>
      </c>
      <c r="AE56" s="59">
        <v>1</v>
      </c>
      <c r="AF56" s="60"/>
      <c r="AG56" s="61"/>
      <c r="AH56" s="62"/>
    </row>
    <row r="57" spans="1:34" ht="19.899999999999999" customHeight="1">
      <c r="A57" s="52"/>
      <c r="B57" s="53"/>
      <c r="C57" s="54"/>
      <c r="D57" s="54"/>
      <c r="E57" s="52"/>
      <c r="F57" s="54"/>
      <c r="G57" s="55" t="s">
        <v>82</v>
      </c>
      <c r="H57" s="56">
        <f t="shared" si="13"/>
        <v>310</v>
      </c>
      <c r="I57" s="57">
        <f t="shared" si="26"/>
        <v>300</v>
      </c>
      <c r="J57" s="58"/>
      <c r="K57" s="58">
        <v>60</v>
      </c>
      <c r="L57" s="58">
        <v>110</v>
      </c>
      <c r="M57" s="58">
        <v>85</v>
      </c>
      <c r="N57" s="58">
        <v>30</v>
      </c>
      <c r="O57" s="59">
        <v>15</v>
      </c>
      <c r="P57" s="57">
        <f t="shared" si="27"/>
        <v>0</v>
      </c>
      <c r="Q57" s="58"/>
      <c r="R57" s="58"/>
      <c r="S57" s="58"/>
      <c r="T57" s="58"/>
      <c r="U57" s="57">
        <f t="shared" si="15"/>
        <v>6</v>
      </c>
      <c r="V57" s="58">
        <v>2</v>
      </c>
      <c r="W57" s="58">
        <v>2</v>
      </c>
      <c r="X57" s="58">
        <v>2</v>
      </c>
      <c r="Y57" s="58"/>
      <c r="Z57" s="57">
        <f t="shared" si="28"/>
        <v>4</v>
      </c>
      <c r="AA57" s="58"/>
      <c r="AB57" s="58">
        <v>1</v>
      </c>
      <c r="AC57" s="58">
        <v>1</v>
      </c>
      <c r="AD57" s="58">
        <v>1</v>
      </c>
      <c r="AE57" s="59">
        <v>1</v>
      </c>
      <c r="AF57" s="60"/>
      <c r="AG57" s="61"/>
      <c r="AH57" s="62"/>
    </row>
    <row r="58" spans="1:34" s="23" customFormat="1" ht="19.899999999999999" customHeight="1">
      <c r="A58" s="31"/>
      <c r="B58" s="32">
        <v>46072</v>
      </c>
      <c r="C58" s="33"/>
      <c r="D58" s="33" t="s">
        <v>83</v>
      </c>
      <c r="E58" s="31" t="s">
        <v>35</v>
      </c>
      <c r="F58" s="33" t="s">
        <v>84</v>
      </c>
      <c r="G58" s="33" t="s">
        <v>29</v>
      </c>
      <c r="H58" s="34">
        <f t="shared" ref="H58" si="29">SUM(H59:H60)</f>
        <v>1136</v>
      </c>
      <c r="I58" s="35">
        <f>SUM(I59:I60)</f>
        <v>1000</v>
      </c>
      <c r="J58" s="35"/>
      <c r="K58" s="35">
        <f t="shared" ref="K58:AE58" si="30">SUM(K59:K60)</f>
        <v>200</v>
      </c>
      <c r="L58" s="35">
        <f t="shared" si="30"/>
        <v>320</v>
      </c>
      <c r="M58" s="35">
        <f t="shared" si="30"/>
        <v>280</v>
      </c>
      <c r="N58" s="35">
        <f t="shared" si="30"/>
        <v>120</v>
      </c>
      <c r="O58" s="36">
        <f t="shared" si="30"/>
        <v>80</v>
      </c>
      <c r="P58" s="35">
        <f t="shared" si="30"/>
        <v>116</v>
      </c>
      <c r="Q58" s="35">
        <f t="shared" si="30"/>
        <v>29</v>
      </c>
      <c r="R58" s="35">
        <f t="shared" si="30"/>
        <v>29</v>
      </c>
      <c r="S58" s="35">
        <f t="shared" si="30"/>
        <v>29</v>
      </c>
      <c r="T58" s="35">
        <f t="shared" si="30"/>
        <v>29</v>
      </c>
      <c r="U58" s="35">
        <f t="shared" si="30"/>
        <v>12</v>
      </c>
      <c r="V58" s="35">
        <f t="shared" si="30"/>
        <v>4</v>
      </c>
      <c r="W58" s="35">
        <f t="shared" si="30"/>
        <v>4</v>
      </c>
      <c r="X58" s="35">
        <f t="shared" si="30"/>
        <v>4</v>
      </c>
      <c r="Y58" s="35"/>
      <c r="Z58" s="35">
        <f t="shared" si="30"/>
        <v>8</v>
      </c>
      <c r="AA58" s="35"/>
      <c r="AB58" s="35">
        <f t="shared" si="30"/>
        <v>2</v>
      </c>
      <c r="AC58" s="35">
        <f t="shared" si="30"/>
        <v>2</v>
      </c>
      <c r="AD58" s="35">
        <f t="shared" si="30"/>
        <v>2</v>
      </c>
      <c r="AE58" s="36">
        <f t="shared" si="30"/>
        <v>2</v>
      </c>
      <c r="AF58" s="37"/>
      <c r="AG58" s="38"/>
      <c r="AH58" s="39">
        <v>46199</v>
      </c>
    </row>
    <row r="59" spans="1:34" ht="19.899999999999999" customHeight="1">
      <c r="A59" s="40"/>
      <c r="B59" s="41"/>
      <c r="C59" s="80"/>
      <c r="D59" s="42"/>
      <c r="E59" s="40"/>
      <c r="F59" s="43"/>
      <c r="G59" s="44" t="s">
        <v>80</v>
      </c>
      <c r="H59" s="45">
        <f t="shared" ref="H59:H60" si="31">+I59+P59+U59+Z59</f>
        <v>570</v>
      </c>
      <c r="I59" s="46">
        <f t="shared" ref="I59:I60" si="32">SUM(K59:O59)</f>
        <v>500</v>
      </c>
      <c r="J59" s="47"/>
      <c r="K59" s="47">
        <v>100</v>
      </c>
      <c r="L59" s="47">
        <v>160</v>
      </c>
      <c r="M59" s="47">
        <v>140</v>
      </c>
      <c r="N59" s="47">
        <v>60</v>
      </c>
      <c r="O59" s="48">
        <v>40</v>
      </c>
      <c r="P59" s="46">
        <f t="shared" ref="P59:P60" si="33">SUM(Q59:T59)</f>
        <v>60</v>
      </c>
      <c r="Q59" s="47">
        <v>15</v>
      </c>
      <c r="R59" s="47">
        <v>15</v>
      </c>
      <c r="S59" s="47">
        <v>15</v>
      </c>
      <c r="T59" s="47">
        <v>15</v>
      </c>
      <c r="U59" s="46">
        <f t="shared" ref="U59:U60" si="34">SUM(V59:X59)</f>
        <v>6</v>
      </c>
      <c r="V59" s="47">
        <v>2</v>
      </c>
      <c r="W59" s="47">
        <v>2</v>
      </c>
      <c r="X59" s="47">
        <v>2</v>
      </c>
      <c r="Y59" s="47"/>
      <c r="Z59" s="46">
        <f t="shared" ref="Z59:Z60" si="35">SUM(AB59:AE59)</f>
        <v>4</v>
      </c>
      <c r="AA59" s="47"/>
      <c r="AB59" s="47">
        <v>1</v>
      </c>
      <c r="AC59" s="47">
        <v>1</v>
      </c>
      <c r="AD59" s="47">
        <v>1</v>
      </c>
      <c r="AE59" s="48">
        <v>1</v>
      </c>
      <c r="AF59" s="49"/>
      <c r="AG59" s="50"/>
      <c r="AH59" s="51"/>
    </row>
    <row r="60" spans="1:34" ht="19.899999999999999" customHeight="1">
      <c r="A60" s="52"/>
      <c r="B60" s="53"/>
      <c r="C60" s="54"/>
      <c r="D60" s="54"/>
      <c r="E60" s="52"/>
      <c r="F60" s="54"/>
      <c r="G60" s="55" t="s">
        <v>42</v>
      </c>
      <c r="H60" s="56">
        <f t="shared" si="31"/>
        <v>566</v>
      </c>
      <c r="I60" s="57">
        <f t="shared" si="32"/>
        <v>500</v>
      </c>
      <c r="J60" s="58"/>
      <c r="K60" s="58">
        <v>100</v>
      </c>
      <c r="L60" s="58">
        <v>160</v>
      </c>
      <c r="M60" s="58">
        <v>140</v>
      </c>
      <c r="N60" s="58">
        <v>60</v>
      </c>
      <c r="O60" s="59">
        <v>40</v>
      </c>
      <c r="P60" s="57">
        <f t="shared" si="33"/>
        <v>56</v>
      </c>
      <c r="Q60" s="58">
        <v>14</v>
      </c>
      <c r="R60" s="58">
        <v>14</v>
      </c>
      <c r="S60" s="58">
        <v>14</v>
      </c>
      <c r="T60" s="58">
        <v>14</v>
      </c>
      <c r="U60" s="57">
        <f t="shared" si="34"/>
        <v>6</v>
      </c>
      <c r="V60" s="58">
        <v>2</v>
      </c>
      <c r="W60" s="58">
        <v>2</v>
      </c>
      <c r="X60" s="58">
        <v>2</v>
      </c>
      <c r="Y60" s="58"/>
      <c r="Z60" s="57">
        <f t="shared" si="35"/>
        <v>4</v>
      </c>
      <c r="AA60" s="58"/>
      <c r="AB60" s="58">
        <v>1</v>
      </c>
      <c r="AC60" s="58">
        <v>1</v>
      </c>
      <c r="AD60" s="58">
        <v>1</v>
      </c>
      <c r="AE60" s="59">
        <v>1</v>
      </c>
      <c r="AF60" s="60"/>
      <c r="AG60" s="61"/>
      <c r="AH60" s="62"/>
    </row>
    <row r="61" spans="1:34" s="23" customFormat="1" ht="19.899999999999999" customHeight="1">
      <c r="A61" s="31"/>
      <c r="B61" s="32">
        <v>46072</v>
      </c>
      <c r="C61" s="33"/>
      <c r="D61" s="33" t="s">
        <v>85</v>
      </c>
      <c r="E61" s="31" t="s">
        <v>35</v>
      </c>
      <c r="F61" s="33" t="s">
        <v>86</v>
      </c>
      <c r="G61" s="33" t="s">
        <v>51</v>
      </c>
      <c r="H61" s="34">
        <f t="shared" ref="H61" si="36">SUM(H62:H65)</f>
        <v>2500</v>
      </c>
      <c r="I61" s="35">
        <f>SUM(I62:I65)</f>
        <v>2500</v>
      </c>
      <c r="J61" s="35"/>
      <c r="K61" s="35">
        <f t="shared" ref="K61:AE61" si="37">SUM(K62:K65)</f>
        <v>555</v>
      </c>
      <c r="L61" s="35">
        <f t="shared" si="37"/>
        <v>935</v>
      </c>
      <c r="M61" s="35">
        <f t="shared" si="37"/>
        <v>650</v>
      </c>
      <c r="N61" s="35">
        <f t="shared" si="37"/>
        <v>250</v>
      </c>
      <c r="O61" s="36">
        <f t="shared" si="37"/>
        <v>110</v>
      </c>
      <c r="P61" s="35"/>
      <c r="Q61" s="35"/>
      <c r="R61" s="35"/>
      <c r="S61" s="35">
        <f t="shared" si="37"/>
        <v>0</v>
      </c>
      <c r="T61" s="35">
        <f t="shared" si="37"/>
        <v>0</v>
      </c>
      <c r="U61" s="35">
        <f t="shared" si="37"/>
        <v>0</v>
      </c>
      <c r="V61" s="35">
        <f t="shared" si="37"/>
        <v>0</v>
      </c>
      <c r="W61" s="35">
        <f t="shared" si="37"/>
        <v>0</v>
      </c>
      <c r="X61" s="35">
        <f t="shared" si="37"/>
        <v>0</v>
      </c>
      <c r="Y61" s="35"/>
      <c r="Z61" s="35">
        <f t="shared" si="37"/>
        <v>0</v>
      </c>
      <c r="AA61" s="35"/>
      <c r="AB61" s="35">
        <f t="shared" si="37"/>
        <v>0</v>
      </c>
      <c r="AC61" s="35">
        <f t="shared" si="37"/>
        <v>0</v>
      </c>
      <c r="AD61" s="35">
        <f t="shared" si="37"/>
        <v>0</v>
      </c>
      <c r="AE61" s="36">
        <f t="shared" si="37"/>
        <v>0</v>
      </c>
      <c r="AF61" s="37"/>
      <c r="AG61" s="38"/>
      <c r="AH61" s="39">
        <v>46199</v>
      </c>
    </row>
    <row r="62" spans="1:34" ht="19.899999999999999" customHeight="1">
      <c r="A62" s="40"/>
      <c r="B62" s="41"/>
      <c r="C62" s="80"/>
      <c r="D62" s="42"/>
      <c r="E62" s="40"/>
      <c r="F62" s="43"/>
      <c r="G62" s="44" t="s">
        <v>59</v>
      </c>
      <c r="H62" s="45">
        <f t="shared" ref="H62:H65" si="38">+I62+P62+U62+Z62</f>
        <v>700</v>
      </c>
      <c r="I62" s="46">
        <f t="shared" ref="I62:I65" si="39">SUM(K62:O62)</f>
        <v>700</v>
      </c>
      <c r="J62" s="47"/>
      <c r="K62" s="47">
        <v>175</v>
      </c>
      <c r="L62" s="47">
        <v>255</v>
      </c>
      <c r="M62" s="47">
        <v>180</v>
      </c>
      <c r="N62" s="47">
        <v>60</v>
      </c>
      <c r="O62" s="48">
        <v>30</v>
      </c>
      <c r="P62" s="46"/>
      <c r="Q62" s="47"/>
      <c r="R62" s="47"/>
      <c r="S62" s="47"/>
      <c r="T62" s="47"/>
      <c r="U62" s="46">
        <f t="shared" ref="U62" si="40">SUM(V62:X62)</f>
        <v>0</v>
      </c>
      <c r="V62" s="47"/>
      <c r="W62" s="47"/>
      <c r="X62" s="47"/>
      <c r="Y62" s="47"/>
      <c r="Z62" s="46">
        <f t="shared" ref="Z62" si="41">SUM(AB62:AE62)</f>
        <v>0</v>
      </c>
      <c r="AA62" s="47"/>
      <c r="AB62" s="47"/>
      <c r="AC62" s="47"/>
      <c r="AD62" s="47"/>
      <c r="AE62" s="48"/>
      <c r="AF62" s="49"/>
      <c r="AG62" s="50"/>
      <c r="AH62" s="51"/>
    </row>
    <row r="63" spans="1:34" ht="19.899999999999999" customHeight="1">
      <c r="A63" s="52"/>
      <c r="B63" s="53"/>
      <c r="C63" s="81"/>
      <c r="D63" s="82"/>
      <c r="E63" s="52"/>
      <c r="F63" s="54"/>
      <c r="G63" s="77" t="s">
        <v>42</v>
      </c>
      <c r="H63" s="83">
        <f t="shared" si="38"/>
        <v>600</v>
      </c>
      <c r="I63" s="84">
        <f t="shared" si="39"/>
        <v>600</v>
      </c>
      <c r="J63" s="85"/>
      <c r="K63" s="85">
        <v>100</v>
      </c>
      <c r="L63" s="85">
        <v>230</v>
      </c>
      <c r="M63" s="85">
        <v>170</v>
      </c>
      <c r="N63" s="85">
        <v>70</v>
      </c>
      <c r="O63" s="86">
        <v>30</v>
      </c>
      <c r="P63" s="84"/>
      <c r="Q63" s="85"/>
      <c r="R63" s="85"/>
      <c r="S63" s="85"/>
      <c r="T63" s="85"/>
      <c r="U63" s="84"/>
      <c r="V63" s="85"/>
      <c r="W63" s="85"/>
      <c r="X63" s="85"/>
      <c r="Y63" s="85"/>
      <c r="Z63" s="84"/>
      <c r="AA63" s="85"/>
      <c r="AB63" s="85"/>
      <c r="AC63" s="85"/>
      <c r="AD63" s="85"/>
      <c r="AE63" s="86"/>
      <c r="AF63" s="87"/>
      <c r="AG63" s="88"/>
      <c r="AH63" s="89"/>
    </row>
    <row r="64" spans="1:34" ht="19.899999999999999" customHeight="1">
      <c r="A64" s="52"/>
      <c r="B64" s="53"/>
      <c r="C64" s="54"/>
      <c r="D64" s="54"/>
      <c r="E64" s="52"/>
      <c r="F64" s="54"/>
      <c r="G64" s="55" t="s">
        <v>87</v>
      </c>
      <c r="H64" s="56">
        <f t="shared" si="38"/>
        <v>600</v>
      </c>
      <c r="I64" s="57">
        <f t="shared" si="39"/>
        <v>600</v>
      </c>
      <c r="J64" s="58"/>
      <c r="K64" s="58">
        <v>140</v>
      </c>
      <c r="L64" s="58">
        <v>225</v>
      </c>
      <c r="M64" s="58">
        <v>150</v>
      </c>
      <c r="N64" s="58">
        <v>60</v>
      </c>
      <c r="O64" s="59">
        <v>25</v>
      </c>
      <c r="P64" s="57"/>
      <c r="Q64" s="58"/>
      <c r="R64" s="58"/>
      <c r="S64" s="58"/>
      <c r="T64" s="58"/>
      <c r="U64" s="57">
        <f t="shared" ref="U64:U70" si="42">SUM(V64:X64)</f>
        <v>0</v>
      </c>
      <c r="V64" s="58">
        <v>0</v>
      </c>
      <c r="W64" s="58">
        <v>0</v>
      </c>
      <c r="X64" s="58">
        <v>0</v>
      </c>
      <c r="Y64" s="58"/>
      <c r="Z64" s="57">
        <f t="shared" ref="Z64:Z65" si="43">SUM(AB64:AE64)</f>
        <v>0</v>
      </c>
      <c r="AA64" s="58"/>
      <c r="AB64" s="58">
        <v>0</v>
      </c>
      <c r="AC64" s="58">
        <v>0</v>
      </c>
      <c r="AD64" s="58">
        <v>0</v>
      </c>
      <c r="AE64" s="59">
        <v>0</v>
      </c>
      <c r="AF64" s="60"/>
      <c r="AG64" s="61"/>
      <c r="AH64" s="62"/>
    </row>
    <row r="65" spans="1:34" ht="19.899999999999999" customHeight="1">
      <c r="A65" s="64"/>
      <c r="B65" s="65"/>
      <c r="C65" s="66"/>
      <c r="D65" s="66"/>
      <c r="E65" s="64"/>
      <c r="F65" s="66"/>
      <c r="G65" s="67" t="s">
        <v>88</v>
      </c>
      <c r="H65" s="68">
        <f t="shared" si="38"/>
        <v>600</v>
      </c>
      <c r="I65" s="69">
        <f t="shared" si="39"/>
        <v>600</v>
      </c>
      <c r="J65" s="70"/>
      <c r="K65" s="70">
        <v>140</v>
      </c>
      <c r="L65" s="70">
        <v>225</v>
      </c>
      <c r="M65" s="70">
        <v>150</v>
      </c>
      <c r="N65" s="70">
        <v>60</v>
      </c>
      <c r="O65" s="71">
        <v>25</v>
      </c>
      <c r="P65" s="69"/>
      <c r="Q65" s="70"/>
      <c r="R65" s="70"/>
      <c r="S65" s="70"/>
      <c r="T65" s="70"/>
      <c r="U65" s="69">
        <f t="shared" si="42"/>
        <v>0</v>
      </c>
      <c r="V65" s="70">
        <v>0</v>
      </c>
      <c r="W65" s="70">
        <v>0</v>
      </c>
      <c r="X65" s="70">
        <v>0</v>
      </c>
      <c r="Y65" s="70"/>
      <c r="Z65" s="69">
        <f t="shared" si="43"/>
        <v>0</v>
      </c>
      <c r="AA65" s="70"/>
      <c r="AB65" s="70">
        <v>0</v>
      </c>
      <c r="AC65" s="70">
        <v>0</v>
      </c>
      <c r="AD65" s="70">
        <v>0</v>
      </c>
      <c r="AE65" s="71">
        <v>0</v>
      </c>
      <c r="AF65" s="72"/>
      <c r="AG65" s="73"/>
      <c r="AH65" s="74"/>
    </row>
    <row r="66" spans="1:34" s="23" customFormat="1" ht="19.899999999999999" customHeight="1">
      <c r="A66" s="31"/>
      <c r="B66" s="32">
        <v>46072</v>
      </c>
      <c r="C66" s="33"/>
      <c r="D66" s="33" t="s">
        <v>85</v>
      </c>
      <c r="E66" s="63" t="s">
        <v>89</v>
      </c>
      <c r="F66" s="33" t="s">
        <v>86</v>
      </c>
      <c r="G66" s="33" t="s">
        <v>90</v>
      </c>
      <c r="H66" s="34">
        <f t="shared" ref="H66" si="44">SUM(H67:H70)</f>
        <v>1000</v>
      </c>
      <c r="I66" s="35">
        <f>SUM(I67:I70)</f>
        <v>1000</v>
      </c>
      <c r="J66" s="35"/>
      <c r="K66" s="35">
        <f t="shared" ref="K66:O66" si="45">SUM(K67:K70)</f>
        <v>215</v>
      </c>
      <c r="L66" s="35">
        <f t="shared" si="45"/>
        <v>375</v>
      </c>
      <c r="M66" s="35">
        <f t="shared" si="45"/>
        <v>260</v>
      </c>
      <c r="N66" s="35">
        <f t="shared" si="45"/>
        <v>100</v>
      </c>
      <c r="O66" s="36">
        <f t="shared" si="45"/>
        <v>50</v>
      </c>
      <c r="P66" s="35"/>
      <c r="Q66" s="35"/>
      <c r="R66" s="35"/>
      <c r="S66" s="35"/>
      <c r="T66" s="35"/>
      <c r="U66" s="35">
        <f t="shared" si="42"/>
        <v>0</v>
      </c>
      <c r="V66" s="35">
        <f t="shared" ref="V66:X66" si="46">SUM(V67:V70)</f>
        <v>0</v>
      </c>
      <c r="W66" s="35">
        <f t="shared" si="46"/>
        <v>0</v>
      </c>
      <c r="X66" s="35">
        <f t="shared" si="46"/>
        <v>0</v>
      </c>
      <c r="Y66" s="35"/>
      <c r="Z66" s="35">
        <f t="shared" ref="Z66" si="47">SUM(Z67:Z70)</f>
        <v>0</v>
      </c>
      <c r="AA66" s="35"/>
      <c r="AB66" s="35">
        <f t="shared" ref="AB66:AE66" si="48">SUM(AB67:AB70)</f>
        <v>0</v>
      </c>
      <c r="AC66" s="35">
        <f t="shared" si="48"/>
        <v>0</v>
      </c>
      <c r="AD66" s="35">
        <f t="shared" si="48"/>
        <v>0</v>
      </c>
      <c r="AE66" s="36">
        <f t="shared" si="48"/>
        <v>0</v>
      </c>
      <c r="AF66" s="37"/>
      <c r="AG66" s="38"/>
      <c r="AH66" s="39" t="s">
        <v>44</v>
      </c>
    </row>
    <row r="67" spans="1:34" ht="19.899999999999999" customHeight="1">
      <c r="A67" s="40"/>
      <c r="B67" s="41"/>
      <c r="C67" s="80"/>
      <c r="D67" s="42"/>
      <c r="E67" s="40"/>
      <c r="F67" s="43"/>
      <c r="G67" s="44" t="s">
        <v>59</v>
      </c>
      <c r="H67" s="45">
        <f t="shared" ref="H67:H70" si="49">+I67+P67+U67+Z67</f>
        <v>400</v>
      </c>
      <c r="I67" s="46">
        <f t="shared" ref="I67:I70" si="50">SUM(K67:O67)</f>
        <v>400</v>
      </c>
      <c r="J67" s="47"/>
      <c r="K67" s="47">
        <v>95</v>
      </c>
      <c r="L67" s="47">
        <v>145</v>
      </c>
      <c r="M67" s="47">
        <v>100</v>
      </c>
      <c r="N67" s="47">
        <v>40</v>
      </c>
      <c r="O67" s="48">
        <v>20</v>
      </c>
      <c r="P67" s="46">
        <f t="shared" ref="P67:P70" si="51">SUM(Q67:T67)</f>
        <v>0</v>
      </c>
      <c r="Q67" s="47"/>
      <c r="R67" s="47"/>
      <c r="S67" s="47"/>
      <c r="T67" s="47"/>
      <c r="U67" s="46">
        <f t="shared" si="42"/>
        <v>0</v>
      </c>
      <c r="V67" s="47">
        <v>0</v>
      </c>
      <c r="W67" s="47">
        <v>0</v>
      </c>
      <c r="X67" s="47">
        <v>0</v>
      </c>
      <c r="Y67" s="47"/>
      <c r="Z67" s="46">
        <f t="shared" ref="Z67:Z70" si="52">SUM(AB67:AE67)</f>
        <v>0</v>
      </c>
      <c r="AA67" s="47"/>
      <c r="AB67" s="47">
        <v>0</v>
      </c>
      <c r="AC67" s="47">
        <v>0</v>
      </c>
      <c r="AD67" s="47">
        <v>0</v>
      </c>
      <c r="AE67" s="48">
        <v>0</v>
      </c>
      <c r="AF67" s="49"/>
      <c r="AG67" s="50"/>
      <c r="AH67" s="51"/>
    </row>
    <row r="68" spans="1:34" ht="19.899999999999999" customHeight="1">
      <c r="A68" s="52"/>
      <c r="B68" s="53"/>
      <c r="C68" s="81"/>
      <c r="D68" s="82"/>
      <c r="E68" s="52"/>
      <c r="F68" s="54"/>
      <c r="G68" s="77" t="s">
        <v>42</v>
      </c>
      <c r="H68" s="83">
        <f t="shared" si="49"/>
        <v>200</v>
      </c>
      <c r="I68" s="84">
        <f t="shared" si="50"/>
        <v>200</v>
      </c>
      <c r="J68" s="85"/>
      <c r="K68" s="85">
        <v>30</v>
      </c>
      <c r="L68" s="85">
        <v>80</v>
      </c>
      <c r="M68" s="85">
        <v>60</v>
      </c>
      <c r="N68" s="85">
        <v>20</v>
      </c>
      <c r="O68" s="86">
        <v>10</v>
      </c>
      <c r="P68" s="84"/>
      <c r="Q68" s="85"/>
      <c r="R68" s="85"/>
      <c r="S68" s="85"/>
      <c r="T68" s="85"/>
      <c r="U68" s="84"/>
      <c r="V68" s="85"/>
      <c r="W68" s="85"/>
      <c r="X68" s="85"/>
      <c r="Y68" s="85"/>
      <c r="Z68" s="84"/>
      <c r="AA68" s="85"/>
      <c r="AB68" s="85"/>
      <c r="AC68" s="85"/>
      <c r="AD68" s="85"/>
      <c r="AE68" s="86"/>
      <c r="AF68" s="87"/>
      <c r="AG68" s="88"/>
      <c r="AH68" s="89"/>
    </row>
    <row r="69" spans="1:34" ht="19.899999999999999" customHeight="1">
      <c r="A69" s="52"/>
      <c r="B69" s="53"/>
      <c r="C69" s="54"/>
      <c r="D69" s="54"/>
      <c r="E69" s="52"/>
      <c r="F69" s="54"/>
      <c r="G69" s="55" t="s">
        <v>87</v>
      </c>
      <c r="H69" s="56">
        <f t="shared" si="49"/>
        <v>200</v>
      </c>
      <c r="I69" s="57">
        <f t="shared" si="50"/>
        <v>200</v>
      </c>
      <c r="J69" s="58"/>
      <c r="K69" s="58">
        <v>45</v>
      </c>
      <c r="L69" s="58">
        <v>75</v>
      </c>
      <c r="M69" s="58">
        <v>50</v>
      </c>
      <c r="N69" s="58">
        <v>20</v>
      </c>
      <c r="O69" s="59">
        <v>10</v>
      </c>
      <c r="P69" s="57">
        <f t="shared" si="51"/>
        <v>0</v>
      </c>
      <c r="Q69" s="58"/>
      <c r="R69" s="58"/>
      <c r="S69" s="58"/>
      <c r="T69" s="58"/>
      <c r="U69" s="57">
        <f t="shared" si="42"/>
        <v>0</v>
      </c>
      <c r="V69" s="58">
        <v>0</v>
      </c>
      <c r="W69" s="58">
        <v>0</v>
      </c>
      <c r="X69" s="58">
        <v>0</v>
      </c>
      <c r="Y69" s="58"/>
      <c r="Z69" s="57">
        <f t="shared" si="52"/>
        <v>0</v>
      </c>
      <c r="AA69" s="58"/>
      <c r="AB69" s="58">
        <v>0</v>
      </c>
      <c r="AC69" s="58">
        <v>0</v>
      </c>
      <c r="AD69" s="58">
        <v>0</v>
      </c>
      <c r="AE69" s="59">
        <v>0</v>
      </c>
      <c r="AF69" s="60"/>
      <c r="AG69" s="61"/>
      <c r="AH69" s="62"/>
    </row>
    <row r="70" spans="1:34" ht="19.899999999999999" customHeight="1">
      <c r="A70" s="64"/>
      <c r="B70" s="65"/>
      <c r="C70" s="66"/>
      <c r="D70" s="66"/>
      <c r="E70" s="64"/>
      <c r="F70" s="66"/>
      <c r="G70" s="67" t="s">
        <v>88</v>
      </c>
      <c r="H70" s="68">
        <f t="shared" si="49"/>
        <v>200</v>
      </c>
      <c r="I70" s="69">
        <f t="shared" si="50"/>
        <v>200</v>
      </c>
      <c r="J70" s="70"/>
      <c r="K70" s="70">
        <v>45</v>
      </c>
      <c r="L70" s="70">
        <v>75</v>
      </c>
      <c r="M70" s="70">
        <v>50</v>
      </c>
      <c r="N70" s="70">
        <v>20</v>
      </c>
      <c r="O70" s="71">
        <v>10</v>
      </c>
      <c r="P70" s="69">
        <f t="shared" si="51"/>
        <v>0</v>
      </c>
      <c r="Q70" s="70"/>
      <c r="R70" s="70"/>
      <c r="S70" s="70"/>
      <c r="T70" s="70"/>
      <c r="U70" s="69">
        <f t="shared" si="42"/>
        <v>0</v>
      </c>
      <c r="V70" s="70">
        <v>0</v>
      </c>
      <c r="W70" s="70">
        <v>0</v>
      </c>
      <c r="X70" s="70">
        <v>0</v>
      </c>
      <c r="Y70" s="70"/>
      <c r="Z70" s="69">
        <f t="shared" si="52"/>
        <v>0</v>
      </c>
      <c r="AA70" s="70"/>
      <c r="AB70" s="70">
        <v>0</v>
      </c>
      <c r="AC70" s="70">
        <v>0</v>
      </c>
      <c r="AD70" s="70">
        <v>0</v>
      </c>
      <c r="AE70" s="71">
        <v>0</v>
      </c>
      <c r="AF70" s="72"/>
      <c r="AG70" s="73"/>
      <c r="AH70" s="74"/>
    </row>
    <row r="71" spans="1:34" s="23" customFormat="1" ht="19.899999999999999" customHeight="1">
      <c r="A71" s="31"/>
      <c r="B71" s="32">
        <v>46081</v>
      </c>
      <c r="C71" s="33"/>
      <c r="D71" s="33" t="s">
        <v>91</v>
      </c>
      <c r="E71" s="31" t="s">
        <v>92</v>
      </c>
      <c r="F71" s="33" t="s">
        <v>93</v>
      </c>
      <c r="G71" s="33" t="s">
        <v>51</v>
      </c>
      <c r="H71" s="34">
        <f>+I71+P71+U71+Z71</f>
        <v>1853</v>
      </c>
      <c r="I71" s="35">
        <f>SUM(J71:O71)</f>
        <v>1700</v>
      </c>
      <c r="J71" s="35">
        <f t="shared" ref="J71" si="53">SUM(J72:J74)</f>
        <v>0</v>
      </c>
      <c r="K71" s="35">
        <f>SUM(K72:K74)</f>
        <v>220</v>
      </c>
      <c r="L71" s="35">
        <f t="shared" ref="L71:AE71" si="54">SUM(L72:L74)</f>
        <v>570</v>
      </c>
      <c r="M71" s="35">
        <f t="shared" si="54"/>
        <v>550</v>
      </c>
      <c r="N71" s="35">
        <f t="shared" si="54"/>
        <v>240</v>
      </c>
      <c r="O71" s="36">
        <f t="shared" si="54"/>
        <v>120</v>
      </c>
      <c r="P71" s="35">
        <f>SUM(Q71:T71)</f>
        <v>132</v>
      </c>
      <c r="Q71" s="35">
        <f t="shared" si="54"/>
        <v>31</v>
      </c>
      <c r="R71" s="35">
        <f t="shared" si="54"/>
        <v>35</v>
      </c>
      <c r="S71" s="35">
        <f t="shared" si="54"/>
        <v>35</v>
      </c>
      <c r="T71" s="35">
        <f t="shared" si="54"/>
        <v>31</v>
      </c>
      <c r="U71" s="35">
        <f>SUM(V71:Y71)</f>
        <v>21</v>
      </c>
      <c r="V71" s="35">
        <f t="shared" si="54"/>
        <v>9</v>
      </c>
      <c r="W71" s="35">
        <f t="shared" si="54"/>
        <v>6</v>
      </c>
      <c r="X71" s="35">
        <f t="shared" si="54"/>
        <v>6</v>
      </c>
      <c r="Y71" s="35">
        <f t="shared" si="54"/>
        <v>0</v>
      </c>
      <c r="Z71" s="35">
        <f>SUM(AA71:AE71)</f>
        <v>0</v>
      </c>
      <c r="AA71" s="35">
        <f t="shared" si="54"/>
        <v>0</v>
      </c>
      <c r="AB71" s="35">
        <f t="shared" si="54"/>
        <v>0</v>
      </c>
      <c r="AC71" s="35">
        <f t="shared" si="54"/>
        <v>0</v>
      </c>
      <c r="AD71" s="35">
        <f t="shared" si="54"/>
        <v>0</v>
      </c>
      <c r="AE71" s="36">
        <f t="shared" si="54"/>
        <v>0</v>
      </c>
      <c r="AF71" s="37"/>
      <c r="AG71" s="38"/>
      <c r="AH71" s="39">
        <v>46227</v>
      </c>
    </row>
    <row r="72" spans="1:34" ht="19.899999999999999" customHeight="1">
      <c r="A72" s="40"/>
      <c r="B72" s="41"/>
      <c r="C72" s="42"/>
      <c r="D72" s="42"/>
      <c r="E72" s="40"/>
      <c r="F72" s="43"/>
      <c r="G72" s="44" t="s">
        <v>55</v>
      </c>
      <c r="H72" s="45">
        <f t="shared" ref="H72:H104" si="55">+I72+P72+U72+Z72</f>
        <v>707</v>
      </c>
      <c r="I72" s="46">
        <f t="shared" ref="I72:I104" si="56">SUM(J72:O72)</f>
        <v>700</v>
      </c>
      <c r="J72" s="47"/>
      <c r="K72" s="47">
        <v>100</v>
      </c>
      <c r="L72" s="47">
        <v>250</v>
      </c>
      <c r="M72" s="47">
        <v>230</v>
      </c>
      <c r="N72" s="47">
        <v>80</v>
      </c>
      <c r="O72" s="48">
        <v>40</v>
      </c>
      <c r="P72" s="46">
        <f t="shared" ref="P72:P104" si="57">SUM(Q72:T72)</f>
        <v>0</v>
      </c>
      <c r="Q72" s="47"/>
      <c r="R72" s="47"/>
      <c r="S72" s="47"/>
      <c r="T72" s="47"/>
      <c r="U72" s="46">
        <f t="shared" ref="U72:U104" si="58">SUM(V72:Y72)</f>
        <v>7</v>
      </c>
      <c r="V72" s="47">
        <v>3</v>
      </c>
      <c r="W72" s="47">
        <v>2</v>
      </c>
      <c r="X72" s="47">
        <v>2</v>
      </c>
      <c r="Y72" s="47"/>
      <c r="Z72" s="46">
        <f t="shared" ref="Z72:Z104" si="59">SUM(AA72:AE72)</f>
        <v>0</v>
      </c>
      <c r="AA72" s="47"/>
      <c r="AB72" s="47"/>
      <c r="AC72" s="47"/>
      <c r="AD72" s="47"/>
      <c r="AE72" s="48"/>
      <c r="AF72" s="49"/>
      <c r="AG72" s="50"/>
      <c r="AH72" s="51"/>
    </row>
    <row r="73" spans="1:34" ht="19.899999999999999" customHeight="1">
      <c r="A73" s="52"/>
      <c r="B73" s="53"/>
      <c r="C73" s="54"/>
      <c r="D73" s="54"/>
      <c r="E73" s="52"/>
      <c r="F73" s="54"/>
      <c r="G73" s="55" t="s">
        <v>87</v>
      </c>
      <c r="H73" s="56">
        <f t="shared" si="55"/>
        <v>569</v>
      </c>
      <c r="I73" s="57">
        <f t="shared" si="56"/>
        <v>500</v>
      </c>
      <c r="J73" s="58"/>
      <c r="K73" s="58">
        <v>60</v>
      </c>
      <c r="L73" s="58">
        <v>160</v>
      </c>
      <c r="M73" s="58">
        <v>160</v>
      </c>
      <c r="N73" s="58">
        <v>80</v>
      </c>
      <c r="O73" s="59">
        <v>40</v>
      </c>
      <c r="P73" s="57">
        <f t="shared" si="57"/>
        <v>62</v>
      </c>
      <c r="Q73" s="58">
        <v>15</v>
      </c>
      <c r="R73" s="58">
        <v>16</v>
      </c>
      <c r="S73" s="58">
        <v>16</v>
      </c>
      <c r="T73" s="58">
        <v>15</v>
      </c>
      <c r="U73" s="57">
        <f t="shared" si="58"/>
        <v>7</v>
      </c>
      <c r="V73" s="58">
        <v>3</v>
      </c>
      <c r="W73" s="58">
        <v>2</v>
      </c>
      <c r="X73" s="58">
        <v>2</v>
      </c>
      <c r="Y73" s="58"/>
      <c r="Z73" s="57">
        <f t="shared" si="59"/>
        <v>0</v>
      </c>
      <c r="AA73" s="58"/>
      <c r="AB73" s="58"/>
      <c r="AC73" s="58"/>
      <c r="AD73" s="58"/>
      <c r="AE73" s="59"/>
      <c r="AF73" s="60"/>
      <c r="AG73" s="61"/>
      <c r="AH73" s="62"/>
    </row>
    <row r="74" spans="1:34" ht="19.899999999999999" customHeight="1">
      <c r="A74" s="52"/>
      <c r="B74" s="53"/>
      <c r="C74" s="54"/>
      <c r="D74" s="54"/>
      <c r="E74" s="52"/>
      <c r="F74" s="54"/>
      <c r="G74" s="55" t="s">
        <v>77</v>
      </c>
      <c r="H74" s="56">
        <f t="shared" si="55"/>
        <v>577</v>
      </c>
      <c r="I74" s="57">
        <f t="shared" si="56"/>
        <v>500</v>
      </c>
      <c r="J74" s="58"/>
      <c r="K74" s="58">
        <v>60</v>
      </c>
      <c r="L74" s="58">
        <v>160</v>
      </c>
      <c r="M74" s="58">
        <v>160</v>
      </c>
      <c r="N74" s="58">
        <v>80</v>
      </c>
      <c r="O74" s="59">
        <v>40</v>
      </c>
      <c r="P74" s="57">
        <f t="shared" si="57"/>
        <v>70</v>
      </c>
      <c r="Q74" s="58">
        <v>16</v>
      </c>
      <c r="R74" s="58">
        <v>19</v>
      </c>
      <c r="S74" s="58">
        <v>19</v>
      </c>
      <c r="T74" s="58">
        <v>16</v>
      </c>
      <c r="U74" s="57">
        <f t="shared" si="58"/>
        <v>7</v>
      </c>
      <c r="V74" s="58">
        <v>3</v>
      </c>
      <c r="W74" s="58">
        <v>2</v>
      </c>
      <c r="X74" s="58">
        <v>2</v>
      </c>
      <c r="Y74" s="58"/>
      <c r="Z74" s="57">
        <f t="shared" si="59"/>
        <v>0</v>
      </c>
      <c r="AA74" s="58"/>
      <c r="AB74" s="58"/>
      <c r="AC74" s="58"/>
      <c r="AD74" s="58"/>
      <c r="AE74" s="59"/>
      <c r="AF74" s="60"/>
      <c r="AG74" s="61"/>
      <c r="AH74" s="62"/>
    </row>
    <row r="75" spans="1:34" s="23" customFormat="1" ht="19.899999999999999" customHeight="1">
      <c r="A75" s="31"/>
      <c r="B75" s="32">
        <v>46081</v>
      </c>
      <c r="C75" s="33"/>
      <c r="D75" s="33" t="s">
        <v>91</v>
      </c>
      <c r="E75" s="63" t="s">
        <v>94</v>
      </c>
      <c r="F75" s="33" t="s">
        <v>93</v>
      </c>
      <c r="G75" s="33" t="s">
        <v>95</v>
      </c>
      <c r="H75" s="34">
        <f t="shared" si="55"/>
        <v>900</v>
      </c>
      <c r="I75" s="35">
        <f t="shared" si="56"/>
        <v>900</v>
      </c>
      <c r="J75" s="35">
        <f t="shared" ref="J75" si="60">SUM(J76:J78)</f>
        <v>0</v>
      </c>
      <c r="K75" s="35">
        <f>SUM(K76:K78)</f>
        <v>110</v>
      </c>
      <c r="L75" s="35">
        <f t="shared" ref="L75:O75" si="61">SUM(L76:L78)</f>
        <v>310</v>
      </c>
      <c r="M75" s="35">
        <f t="shared" si="61"/>
        <v>290</v>
      </c>
      <c r="N75" s="35">
        <f t="shared" si="61"/>
        <v>140</v>
      </c>
      <c r="O75" s="36">
        <f t="shared" si="61"/>
        <v>50</v>
      </c>
      <c r="P75" s="35">
        <f t="shared" si="57"/>
        <v>0</v>
      </c>
      <c r="Q75" s="35">
        <f t="shared" ref="Q75:T75" si="62">SUM(Q76:Q78)</f>
        <v>0</v>
      </c>
      <c r="R75" s="35">
        <f t="shared" si="62"/>
        <v>0</v>
      </c>
      <c r="S75" s="35">
        <f t="shared" si="62"/>
        <v>0</v>
      </c>
      <c r="T75" s="35">
        <f t="shared" si="62"/>
        <v>0</v>
      </c>
      <c r="U75" s="35">
        <f t="shared" si="58"/>
        <v>0</v>
      </c>
      <c r="V75" s="35">
        <f t="shared" ref="V75:Y75" si="63">SUM(V76:V78)</f>
        <v>0</v>
      </c>
      <c r="W75" s="35">
        <f t="shared" si="63"/>
        <v>0</v>
      </c>
      <c r="X75" s="35">
        <f t="shared" si="63"/>
        <v>0</v>
      </c>
      <c r="Y75" s="35">
        <f t="shared" si="63"/>
        <v>0</v>
      </c>
      <c r="Z75" s="35">
        <f t="shared" si="59"/>
        <v>0</v>
      </c>
      <c r="AA75" s="35">
        <f t="shared" ref="AA75:AE75" si="64">SUM(AA76:AA78)</f>
        <v>0</v>
      </c>
      <c r="AB75" s="35">
        <f t="shared" si="64"/>
        <v>0</v>
      </c>
      <c r="AC75" s="35">
        <f t="shared" si="64"/>
        <v>0</v>
      </c>
      <c r="AD75" s="35">
        <f t="shared" si="64"/>
        <v>0</v>
      </c>
      <c r="AE75" s="36">
        <f t="shared" si="64"/>
        <v>0</v>
      </c>
      <c r="AF75" s="37"/>
      <c r="AG75" s="38"/>
      <c r="AH75" s="39" t="s">
        <v>96</v>
      </c>
    </row>
    <row r="76" spans="1:34" ht="19.899999999999999" customHeight="1">
      <c r="A76" s="40"/>
      <c r="B76" s="41"/>
      <c r="C76" s="42"/>
      <c r="D76" s="42"/>
      <c r="E76" s="40"/>
      <c r="F76" s="43"/>
      <c r="G76" s="44" t="s">
        <v>55</v>
      </c>
      <c r="H76" s="45">
        <f t="shared" si="55"/>
        <v>300</v>
      </c>
      <c r="I76" s="46">
        <f t="shared" si="56"/>
        <v>300</v>
      </c>
      <c r="J76" s="47"/>
      <c r="K76" s="47">
        <v>40</v>
      </c>
      <c r="L76" s="47">
        <v>110</v>
      </c>
      <c r="M76" s="47">
        <v>100</v>
      </c>
      <c r="N76" s="47">
        <v>40</v>
      </c>
      <c r="O76" s="48">
        <v>10</v>
      </c>
      <c r="P76" s="46">
        <f t="shared" si="57"/>
        <v>0</v>
      </c>
      <c r="Q76" s="47"/>
      <c r="R76" s="47"/>
      <c r="S76" s="47"/>
      <c r="T76" s="47"/>
      <c r="U76" s="46">
        <f t="shared" si="58"/>
        <v>0</v>
      </c>
      <c r="V76" s="47"/>
      <c r="W76" s="47"/>
      <c r="X76" s="47"/>
      <c r="Y76" s="47"/>
      <c r="Z76" s="46">
        <f t="shared" si="59"/>
        <v>0</v>
      </c>
      <c r="AA76" s="47"/>
      <c r="AB76" s="47"/>
      <c r="AC76" s="47"/>
      <c r="AD76" s="47"/>
      <c r="AE76" s="48"/>
      <c r="AF76" s="49"/>
      <c r="AG76" s="50"/>
      <c r="AH76" s="51"/>
    </row>
    <row r="77" spans="1:34" ht="19.899999999999999" customHeight="1">
      <c r="A77" s="52"/>
      <c r="B77" s="53"/>
      <c r="C77" s="54"/>
      <c r="D77" s="54"/>
      <c r="E77" s="52"/>
      <c r="F77" s="54"/>
      <c r="G77" s="55" t="s">
        <v>87</v>
      </c>
      <c r="H77" s="56">
        <f t="shared" si="55"/>
        <v>300</v>
      </c>
      <c r="I77" s="57">
        <f t="shared" si="56"/>
        <v>300</v>
      </c>
      <c r="J77" s="58"/>
      <c r="K77" s="58">
        <v>35</v>
      </c>
      <c r="L77" s="58">
        <v>100</v>
      </c>
      <c r="M77" s="58">
        <v>95</v>
      </c>
      <c r="N77" s="58">
        <v>50</v>
      </c>
      <c r="O77" s="59">
        <v>20</v>
      </c>
      <c r="P77" s="57">
        <f t="shared" si="57"/>
        <v>0</v>
      </c>
      <c r="Q77" s="58"/>
      <c r="R77" s="58"/>
      <c r="S77" s="58"/>
      <c r="T77" s="58"/>
      <c r="U77" s="57">
        <f t="shared" si="58"/>
        <v>0</v>
      </c>
      <c r="V77" s="58"/>
      <c r="W77" s="58"/>
      <c r="X77" s="58"/>
      <c r="Y77" s="58"/>
      <c r="Z77" s="57">
        <f t="shared" si="59"/>
        <v>0</v>
      </c>
      <c r="AA77" s="58"/>
      <c r="AB77" s="58"/>
      <c r="AC77" s="58"/>
      <c r="AD77" s="58"/>
      <c r="AE77" s="59"/>
      <c r="AF77" s="60"/>
      <c r="AG77" s="61"/>
      <c r="AH77" s="62"/>
    </row>
    <row r="78" spans="1:34" ht="19.899999999999999" customHeight="1">
      <c r="A78" s="52"/>
      <c r="B78" s="53"/>
      <c r="C78" s="54"/>
      <c r="D78" s="54"/>
      <c r="E78" s="52"/>
      <c r="F78" s="54"/>
      <c r="G78" s="55" t="s">
        <v>77</v>
      </c>
      <c r="H78" s="56">
        <f t="shared" si="55"/>
        <v>300</v>
      </c>
      <c r="I78" s="57">
        <f t="shared" si="56"/>
        <v>300</v>
      </c>
      <c r="J78" s="58"/>
      <c r="K78" s="58">
        <v>35</v>
      </c>
      <c r="L78" s="58">
        <v>100</v>
      </c>
      <c r="M78" s="58">
        <v>95</v>
      </c>
      <c r="N78" s="58">
        <v>50</v>
      </c>
      <c r="O78" s="59">
        <v>20</v>
      </c>
      <c r="P78" s="57">
        <f t="shared" si="57"/>
        <v>0</v>
      </c>
      <c r="Q78" s="58"/>
      <c r="R78" s="58"/>
      <c r="S78" s="58"/>
      <c r="T78" s="58"/>
      <c r="U78" s="57">
        <f t="shared" si="58"/>
        <v>0</v>
      </c>
      <c r="V78" s="58"/>
      <c r="W78" s="58"/>
      <c r="X78" s="58"/>
      <c r="Y78" s="58"/>
      <c r="Z78" s="57">
        <f t="shared" si="59"/>
        <v>0</v>
      </c>
      <c r="AA78" s="58"/>
      <c r="AB78" s="58"/>
      <c r="AC78" s="58"/>
      <c r="AD78" s="58"/>
      <c r="AE78" s="59"/>
      <c r="AF78" s="60"/>
      <c r="AG78" s="61"/>
      <c r="AH78" s="62"/>
    </row>
    <row r="79" spans="1:34" s="23" customFormat="1" ht="19.899999999999999" customHeight="1">
      <c r="A79" s="31"/>
      <c r="B79" s="32">
        <v>46081</v>
      </c>
      <c r="C79" s="33"/>
      <c r="D79" s="33" t="s">
        <v>97</v>
      </c>
      <c r="E79" s="31" t="s">
        <v>92</v>
      </c>
      <c r="F79" s="33" t="s">
        <v>98</v>
      </c>
      <c r="G79" s="33" t="s">
        <v>99</v>
      </c>
      <c r="H79" s="34">
        <f t="shared" si="55"/>
        <v>2966</v>
      </c>
      <c r="I79" s="35">
        <f t="shared" si="56"/>
        <v>2800</v>
      </c>
      <c r="J79" s="35">
        <f t="shared" ref="J79" si="65">SUM(J80:J83)</f>
        <v>0</v>
      </c>
      <c r="K79" s="35">
        <f>SUM(K80:K83)</f>
        <v>560</v>
      </c>
      <c r="L79" s="35">
        <f t="shared" ref="L79:AE79" si="66">SUM(L80:L83)</f>
        <v>1025</v>
      </c>
      <c r="M79" s="35">
        <f t="shared" si="66"/>
        <v>815</v>
      </c>
      <c r="N79" s="35">
        <f t="shared" si="66"/>
        <v>270</v>
      </c>
      <c r="O79" s="36">
        <f t="shared" si="66"/>
        <v>130</v>
      </c>
      <c r="P79" s="35">
        <f t="shared" si="57"/>
        <v>132</v>
      </c>
      <c r="Q79" s="35">
        <f t="shared" si="66"/>
        <v>31</v>
      </c>
      <c r="R79" s="35">
        <f t="shared" si="66"/>
        <v>35</v>
      </c>
      <c r="S79" s="35">
        <f t="shared" si="66"/>
        <v>35</v>
      </c>
      <c r="T79" s="35">
        <f t="shared" si="66"/>
        <v>31</v>
      </c>
      <c r="U79" s="35">
        <f t="shared" si="58"/>
        <v>18</v>
      </c>
      <c r="V79" s="35">
        <f t="shared" si="66"/>
        <v>6</v>
      </c>
      <c r="W79" s="35">
        <f t="shared" si="66"/>
        <v>6</v>
      </c>
      <c r="X79" s="35">
        <f t="shared" si="66"/>
        <v>6</v>
      </c>
      <c r="Y79" s="35">
        <f t="shared" si="66"/>
        <v>0</v>
      </c>
      <c r="Z79" s="35">
        <f t="shared" si="59"/>
        <v>16</v>
      </c>
      <c r="AA79" s="35">
        <f t="shared" si="66"/>
        <v>0</v>
      </c>
      <c r="AB79" s="35">
        <f t="shared" si="66"/>
        <v>4</v>
      </c>
      <c r="AC79" s="35">
        <f t="shared" si="66"/>
        <v>4</v>
      </c>
      <c r="AD79" s="35">
        <f t="shared" si="66"/>
        <v>4</v>
      </c>
      <c r="AE79" s="36">
        <f t="shared" si="66"/>
        <v>4</v>
      </c>
      <c r="AF79" s="37"/>
      <c r="AG79" s="38"/>
      <c r="AH79" s="39">
        <v>46227</v>
      </c>
    </row>
    <row r="80" spans="1:34" ht="19.899999999999999" customHeight="1">
      <c r="A80" s="40"/>
      <c r="B80" s="41"/>
      <c r="C80" s="42"/>
      <c r="D80" s="42"/>
      <c r="E80" s="40"/>
      <c r="F80" s="43"/>
      <c r="G80" s="44" t="s">
        <v>59</v>
      </c>
      <c r="H80" s="45">
        <f t="shared" si="55"/>
        <v>980</v>
      </c>
      <c r="I80" s="46">
        <f t="shared" si="56"/>
        <v>900</v>
      </c>
      <c r="J80" s="47"/>
      <c r="K80" s="47">
        <v>190</v>
      </c>
      <c r="L80" s="47">
        <v>350</v>
      </c>
      <c r="M80" s="47">
        <v>260</v>
      </c>
      <c r="N80" s="47">
        <v>70</v>
      </c>
      <c r="O80" s="48">
        <v>30</v>
      </c>
      <c r="P80" s="46">
        <f t="shared" si="57"/>
        <v>70</v>
      </c>
      <c r="Q80" s="47">
        <v>16</v>
      </c>
      <c r="R80" s="47">
        <v>19</v>
      </c>
      <c r="S80" s="47">
        <v>19</v>
      </c>
      <c r="T80" s="47">
        <v>16</v>
      </c>
      <c r="U80" s="46">
        <f t="shared" si="58"/>
        <v>6</v>
      </c>
      <c r="V80" s="47">
        <v>2</v>
      </c>
      <c r="W80" s="47">
        <v>2</v>
      </c>
      <c r="X80" s="47">
        <v>2</v>
      </c>
      <c r="Y80" s="47"/>
      <c r="Z80" s="46">
        <f t="shared" si="59"/>
        <v>4</v>
      </c>
      <c r="AA80" s="47"/>
      <c r="AB80" s="47">
        <v>1</v>
      </c>
      <c r="AC80" s="47">
        <v>1</v>
      </c>
      <c r="AD80" s="47">
        <v>1</v>
      </c>
      <c r="AE80" s="48">
        <v>1</v>
      </c>
      <c r="AF80" s="49"/>
      <c r="AG80" s="50"/>
      <c r="AH80" s="51"/>
    </row>
    <row r="81" spans="1:34" ht="19.899999999999999" customHeight="1">
      <c r="A81" s="52"/>
      <c r="B81" s="53"/>
      <c r="C81" s="54"/>
      <c r="D81" s="54"/>
      <c r="E81" s="52"/>
      <c r="F81" s="54"/>
      <c r="G81" s="55" t="s">
        <v>63</v>
      </c>
      <c r="H81" s="56">
        <f t="shared" si="55"/>
        <v>772</v>
      </c>
      <c r="I81" s="57">
        <f t="shared" si="56"/>
        <v>700</v>
      </c>
      <c r="J81" s="58"/>
      <c r="K81" s="58">
        <v>150</v>
      </c>
      <c r="L81" s="58">
        <v>260</v>
      </c>
      <c r="M81" s="58">
        <v>200</v>
      </c>
      <c r="N81" s="58">
        <v>60</v>
      </c>
      <c r="O81" s="59">
        <v>30</v>
      </c>
      <c r="P81" s="57">
        <f t="shared" si="57"/>
        <v>62</v>
      </c>
      <c r="Q81" s="58">
        <v>15</v>
      </c>
      <c r="R81" s="58">
        <v>16</v>
      </c>
      <c r="S81" s="58">
        <v>16</v>
      </c>
      <c r="T81" s="58">
        <v>15</v>
      </c>
      <c r="U81" s="57">
        <f t="shared" si="58"/>
        <v>6</v>
      </c>
      <c r="V81" s="58">
        <v>2</v>
      </c>
      <c r="W81" s="58">
        <v>2</v>
      </c>
      <c r="X81" s="58">
        <v>2</v>
      </c>
      <c r="Y81" s="58"/>
      <c r="Z81" s="57">
        <f t="shared" si="59"/>
        <v>4</v>
      </c>
      <c r="AA81" s="58"/>
      <c r="AB81" s="58">
        <v>1</v>
      </c>
      <c r="AC81" s="58">
        <v>1</v>
      </c>
      <c r="AD81" s="58">
        <v>1</v>
      </c>
      <c r="AE81" s="59">
        <v>1</v>
      </c>
      <c r="AF81" s="60"/>
      <c r="AG81" s="61"/>
      <c r="AH81" s="62"/>
    </row>
    <row r="82" spans="1:34" ht="19.899999999999999" customHeight="1">
      <c r="A82" s="52"/>
      <c r="B82" s="53"/>
      <c r="C82" s="54"/>
      <c r="D82" s="54"/>
      <c r="E82" s="52"/>
      <c r="F82" s="54"/>
      <c r="G82" s="55" t="s">
        <v>81</v>
      </c>
      <c r="H82" s="56">
        <f t="shared" si="55"/>
        <v>710</v>
      </c>
      <c r="I82" s="57">
        <f t="shared" si="56"/>
        <v>700</v>
      </c>
      <c r="J82" s="58"/>
      <c r="K82" s="58">
        <v>110</v>
      </c>
      <c r="L82" s="58">
        <v>230</v>
      </c>
      <c r="M82" s="58">
        <v>210</v>
      </c>
      <c r="N82" s="58">
        <v>100</v>
      </c>
      <c r="O82" s="59">
        <v>50</v>
      </c>
      <c r="P82" s="57">
        <f t="shared" si="57"/>
        <v>0</v>
      </c>
      <c r="Q82" s="58"/>
      <c r="R82" s="58"/>
      <c r="S82" s="58"/>
      <c r="T82" s="58"/>
      <c r="U82" s="57">
        <f t="shared" si="58"/>
        <v>6</v>
      </c>
      <c r="V82" s="58">
        <v>2</v>
      </c>
      <c r="W82" s="58">
        <v>2</v>
      </c>
      <c r="X82" s="58">
        <v>2</v>
      </c>
      <c r="Y82" s="58"/>
      <c r="Z82" s="57">
        <f t="shared" si="59"/>
        <v>4</v>
      </c>
      <c r="AA82" s="58"/>
      <c r="AB82" s="58">
        <v>1</v>
      </c>
      <c r="AC82" s="58">
        <v>1</v>
      </c>
      <c r="AD82" s="58">
        <v>1</v>
      </c>
      <c r="AE82" s="59">
        <v>1</v>
      </c>
      <c r="AF82" s="60"/>
      <c r="AG82" s="61"/>
      <c r="AH82" s="62"/>
    </row>
    <row r="83" spans="1:34" ht="19.899999999999999" customHeight="1">
      <c r="A83" s="52"/>
      <c r="B83" s="53"/>
      <c r="C83" s="54"/>
      <c r="D83" s="54"/>
      <c r="E83" s="52"/>
      <c r="F83" s="54"/>
      <c r="G83" s="77" t="s">
        <v>100</v>
      </c>
      <c r="H83" s="56">
        <f t="shared" si="55"/>
        <v>504</v>
      </c>
      <c r="I83" s="57">
        <f t="shared" si="56"/>
        <v>500</v>
      </c>
      <c r="J83" s="58"/>
      <c r="K83" s="90">
        <v>110</v>
      </c>
      <c r="L83" s="90">
        <v>185</v>
      </c>
      <c r="M83" s="90">
        <v>145</v>
      </c>
      <c r="N83" s="90">
        <v>40</v>
      </c>
      <c r="O83" s="91">
        <v>20</v>
      </c>
      <c r="P83" s="57">
        <f t="shared" si="57"/>
        <v>0</v>
      </c>
      <c r="Q83" s="58"/>
      <c r="R83" s="58"/>
      <c r="S83" s="58"/>
      <c r="T83" s="58"/>
      <c r="U83" s="57">
        <f t="shared" si="58"/>
        <v>0</v>
      </c>
      <c r="V83" s="58"/>
      <c r="W83" s="58"/>
      <c r="X83" s="58"/>
      <c r="Y83" s="58"/>
      <c r="Z83" s="57">
        <f t="shared" si="59"/>
        <v>4</v>
      </c>
      <c r="AA83" s="58"/>
      <c r="AB83" s="58">
        <v>1</v>
      </c>
      <c r="AC83" s="58">
        <v>1</v>
      </c>
      <c r="AD83" s="58">
        <v>1</v>
      </c>
      <c r="AE83" s="59">
        <v>1</v>
      </c>
      <c r="AF83" s="60"/>
      <c r="AG83" s="61"/>
      <c r="AH83" s="62"/>
    </row>
    <row r="84" spans="1:34" s="23" customFormat="1" ht="19.899999999999999" customHeight="1">
      <c r="A84" s="31"/>
      <c r="B84" s="32">
        <v>46081</v>
      </c>
      <c r="C84" s="33"/>
      <c r="D84" s="33" t="s">
        <v>97</v>
      </c>
      <c r="E84" s="63" t="s">
        <v>101</v>
      </c>
      <c r="F84" s="33" t="s">
        <v>98</v>
      </c>
      <c r="G84" s="33" t="s">
        <v>99</v>
      </c>
      <c r="H84" s="34">
        <f t="shared" si="55"/>
        <v>1200</v>
      </c>
      <c r="I84" s="35">
        <f t="shared" si="56"/>
        <v>1200</v>
      </c>
      <c r="J84" s="35">
        <f t="shared" ref="J84" si="67">SUM(J85:J87)</f>
        <v>0</v>
      </c>
      <c r="K84" s="35">
        <f>SUM(K85:K87)</f>
        <v>225</v>
      </c>
      <c r="L84" s="35">
        <f t="shared" ref="L84:O84" si="68">SUM(L85:L87)</f>
        <v>455</v>
      </c>
      <c r="M84" s="35">
        <f t="shared" si="68"/>
        <v>360</v>
      </c>
      <c r="N84" s="35">
        <f t="shared" si="68"/>
        <v>105</v>
      </c>
      <c r="O84" s="36">
        <f t="shared" si="68"/>
        <v>55</v>
      </c>
      <c r="P84" s="35">
        <f t="shared" si="57"/>
        <v>0</v>
      </c>
      <c r="Q84" s="35">
        <f t="shared" ref="Q84:T84" si="69">SUM(Q85:Q87)</f>
        <v>0</v>
      </c>
      <c r="R84" s="35">
        <f t="shared" si="69"/>
        <v>0</v>
      </c>
      <c r="S84" s="35">
        <f t="shared" si="69"/>
        <v>0</v>
      </c>
      <c r="T84" s="35">
        <f t="shared" si="69"/>
        <v>0</v>
      </c>
      <c r="U84" s="35">
        <f t="shared" si="58"/>
        <v>0</v>
      </c>
      <c r="V84" s="35">
        <f t="shared" ref="V84:Y84" si="70">SUM(V85:V87)</f>
        <v>0</v>
      </c>
      <c r="W84" s="35">
        <f t="shared" si="70"/>
        <v>0</v>
      </c>
      <c r="X84" s="35">
        <f t="shared" si="70"/>
        <v>0</v>
      </c>
      <c r="Y84" s="35">
        <f t="shared" si="70"/>
        <v>0</v>
      </c>
      <c r="Z84" s="35">
        <f t="shared" si="59"/>
        <v>0</v>
      </c>
      <c r="AA84" s="35">
        <f t="shared" ref="AA84:AE84" si="71">SUM(AA85:AA87)</f>
        <v>0</v>
      </c>
      <c r="AB84" s="35">
        <f t="shared" si="71"/>
        <v>0</v>
      </c>
      <c r="AC84" s="35">
        <f t="shared" si="71"/>
        <v>0</v>
      </c>
      <c r="AD84" s="35">
        <f t="shared" si="71"/>
        <v>0</v>
      </c>
      <c r="AE84" s="36">
        <f t="shared" si="71"/>
        <v>0</v>
      </c>
      <c r="AF84" s="37"/>
      <c r="AG84" s="38"/>
      <c r="AH84" s="39" t="s">
        <v>96</v>
      </c>
    </row>
    <row r="85" spans="1:34" ht="19.899999999999999" customHeight="1">
      <c r="A85" s="40"/>
      <c r="B85" s="41"/>
      <c r="C85" s="42"/>
      <c r="D85" s="42"/>
      <c r="E85" s="40"/>
      <c r="F85" s="43"/>
      <c r="G85" s="44" t="s">
        <v>59</v>
      </c>
      <c r="H85" s="45">
        <f t="shared" si="55"/>
        <v>400</v>
      </c>
      <c r="I85" s="46">
        <f t="shared" si="56"/>
        <v>400</v>
      </c>
      <c r="J85" s="47"/>
      <c r="K85" s="92">
        <v>80</v>
      </c>
      <c r="L85" s="92">
        <v>160</v>
      </c>
      <c r="M85" s="92">
        <v>120</v>
      </c>
      <c r="N85" s="92">
        <v>25</v>
      </c>
      <c r="O85" s="93">
        <v>15</v>
      </c>
      <c r="P85" s="46">
        <f t="shared" si="57"/>
        <v>0</v>
      </c>
      <c r="Q85" s="47"/>
      <c r="R85" s="47"/>
      <c r="S85" s="47"/>
      <c r="T85" s="47"/>
      <c r="U85" s="46">
        <f t="shared" si="58"/>
        <v>0</v>
      </c>
      <c r="V85" s="47"/>
      <c r="W85" s="47"/>
      <c r="X85" s="47"/>
      <c r="Y85" s="47"/>
      <c r="Z85" s="46">
        <f t="shared" si="59"/>
        <v>0</v>
      </c>
      <c r="AA85" s="47"/>
      <c r="AB85" s="47"/>
      <c r="AC85" s="47"/>
      <c r="AD85" s="47"/>
      <c r="AE85" s="48"/>
      <c r="AF85" s="49"/>
      <c r="AG85" s="50"/>
      <c r="AH85" s="51"/>
    </row>
    <row r="86" spans="1:34" ht="19.899999999999999" customHeight="1">
      <c r="A86" s="52"/>
      <c r="B86" s="53"/>
      <c r="C86" s="54"/>
      <c r="D86" s="54"/>
      <c r="E86" s="52"/>
      <c r="F86" s="54"/>
      <c r="G86" s="55" t="s">
        <v>63</v>
      </c>
      <c r="H86" s="56">
        <f t="shared" si="55"/>
        <v>400</v>
      </c>
      <c r="I86" s="57">
        <f t="shared" si="56"/>
        <v>400</v>
      </c>
      <c r="J86" s="58"/>
      <c r="K86" s="90">
        <v>80</v>
      </c>
      <c r="L86" s="90">
        <v>160</v>
      </c>
      <c r="M86" s="90">
        <v>120</v>
      </c>
      <c r="N86" s="90">
        <v>25</v>
      </c>
      <c r="O86" s="91">
        <v>15</v>
      </c>
      <c r="P86" s="57">
        <f t="shared" si="57"/>
        <v>0</v>
      </c>
      <c r="Q86" s="58"/>
      <c r="R86" s="58"/>
      <c r="S86" s="58"/>
      <c r="T86" s="58"/>
      <c r="U86" s="57">
        <f t="shared" si="58"/>
        <v>0</v>
      </c>
      <c r="V86" s="58"/>
      <c r="W86" s="58"/>
      <c r="X86" s="58"/>
      <c r="Y86" s="58"/>
      <c r="Z86" s="57">
        <f t="shared" si="59"/>
        <v>0</v>
      </c>
      <c r="AA86" s="58"/>
      <c r="AB86" s="58"/>
      <c r="AC86" s="58"/>
      <c r="AD86" s="58"/>
      <c r="AE86" s="59"/>
      <c r="AF86" s="60"/>
      <c r="AG86" s="61"/>
      <c r="AH86" s="62"/>
    </row>
    <row r="87" spans="1:34" ht="19.899999999999999" customHeight="1">
      <c r="A87" s="52"/>
      <c r="B87" s="53"/>
      <c r="C87" s="54"/>
      <c r="D87" s="54"/>
      <c r="E87" s="52"/>
      <c r="F87" s="54"/>
      <c r="G87" s="55" t="s">
        <v>81</v>
      </c>
      <c r="H87" s="56">
        <f t="shared" si="55"/>
        <v>400</v>
      </c>
      <c r="I87" s="57">
        <f t="shared" si="56"/>
        <v>400</v>
      </c>
      <c r="J87" s="58"/>
      <c r="K87" s="90">
        <v>65</v>
      </c>
      <c r="L87" s="90">
        <v>135</v>
      </c>
      <c r="M87" s="90">
        <v>120</v>
      </c>
      <c r="N87" s="90">
        <v>55</v>
      </c>
      <c r="O87" s="91">
        <v>25</v>
      </c>
      <c r="P87" s="57">
        <f t="shared" si="57"/>
        <v>0</v>
      </c>
      <c r="Q87" s="58"/>
      <c r="R87" s="58"/>
      <c r="S87" s="58"/>
      <c r="T87" s="58"/>
      <c r="U87" s="57">
        <f t="shared" si="58"/>
        <v>0</v>
      </c>
      <c r="V87" s="58"/>
      <c r="W87" s="58"/>
      <c r="X87" s="58"/>
      <c r="Y87" s="58"/>
      <c r="Z87" s="57">
        <f t="shared" si="59"/>
        <v>0</v>
      </c>
      <c r="AA87" s="58"/>
      <c r="AB87" s="58"/>
      <c r="AC87" s="58"/>
      <c r="AD87" s="58"/>
      <c r="AE87" s="59"/>
      <c r="AF87" s="60"/>
      <c r="AG87" s="61"/>
      <c r="AH87" s="62"/>
    </row>
    <row r="88" spans="1:34" s="23" customFormat="1" ht="19.899999999999999" customHeight="1">
      <c r="A88" s="31"/>
      <c r="B88" s="32">
        <v>46081</v>
      </c>
      <c r="C88" s="33"/>
      <c r="D88" s="33" t="s">
        <v>102</v>
      </c>
      <c r="E88" s="31" t="s">
        <v>92</v>
      </c>
      <c r="F88" s="33" t="s">
        <v>103</v>
      </c>
      <c r="G88" s="33" t="s">
        <v>29</v>
      </c>
      <c r="H88" s="34">
        <f t="shared" si="55"/>
        <v>5896</v>
      </c>
      <c r="I88" s="35">
        <f t="shared" ref="I88:J88" si="72">SUM(I89:I96)</f>
        <v>5700</v>
      </c>
      <c r="J88" s="35">
        <f t="shared" si="72"/>
        <v>100</v>
      </c>
      <c r="K88" s="35">
        <f>SUM(K89:K96)</f>
        <v>1260</v>
      </c>
      <c r="L88" s="35">
        <f t="shared" ref="L88:AE88" si="73">SUM(L89:L96)</f>
        <v>2115</v>
      </c>
      <c r="M88" s="35">
        <f t="shared" si="73"/>
        <v>1480</v>
      </c>
      <c r="N88" s="35">
        <f t="shared" si="73"/>
        <v>505</v>
      </c>
      <c r="O88" s="36">
        <f t="shared" si="73"/>
        <v>240</v>
      </c>
      <c r="P88" s="35">
        <f t="shared" si="73"/>
        <v>112</v>
      </c>
      <c r="Q88" s="35">
        <f t="shared" si="73"/>
        <v>28</v>
      </c>
      <c r="R88" s="35">
        <f t="shared" si="73"/>
        <v>28</v>
      </c>
      <c r="S88" s="35">
        <f t="shared" si="73"/>
        <v>28</v>
      </c>
      <c r="T88" s="35">
        <f t="shared" si="73"/>
        <v>28</v>
      </c>
      <c r="U88" s="35">
        <f t="shared" si="73"/>
        <v>56</v>
      </c>
      <c r="V88" s="35">
        <f t="shared" si="73"/>
        <v>20</v>
      </c>
      <c r="W88" s="35">
        <f t="shared" si="73"/>
        <v>20</v>
      </c>
      <c r="X88" s="35">
        <f t="shared" si="73"/>
        <v>13</v>
      </c>
      <c r="Y88" s="35">
        <f t="shared" si="73"/>
        <v>3</v>
      </c>
      <c r="Z88" s="35">
        <f t="shared" si="73"/>
        <v>28</v>
      </c>
      <c r="AA88" s="35">
        <f t="shared" si="73"/>
        <v>0</v>
      </c>
      <c r="AB88" s="35">
        <f t="shared" si="73"/>
        <v>7</v>
      </c>
      <c r="AC88" s="35">
        <f t="shared" si="73"/>
        <v>7</v>
      </c>
      <c r="AD88" s="35">
        <f t="shared" si="73"/>
        <v>7</v>
      </c>
      <c r="AE88" s="36">
        <f t="shared" si="73"/>
        <v>7</v>
      </c>
      <c r="AF88" s="37"/>
      <c r="AG88" s="38"/>
      <c r="AH88" s="39">
        <v>46227</v>
      </c>
    </row>
    <row r="89" spans="1:34" ht="19.899999999999999" customHeight="1">
      <c r="A89" s="40"/>
      <c r="B89" s="41"/>
      <c r="C89" s="42"/>
      <c r="D89" s="42"/>
      <c r="E89" s="40"/>
      <c r="F89" s="43"/>
      <c r="G89" s="44" t="s">
        <v>81</v>
      </c>
      <c r="H89" s="45">
        <f t="shared" si="55"/>
        <v>913</v>
      </c>
      <c r="I89" s="46">
        <f t="shared" si="56"/>
        <v>900</v>
      </c>
      <c r="J89" s="47">
        <v>10</v>
      </c>
      <c r="K89" s="47">
        <v>140</v>
      </c>
      <c r="L89" s="47">
        <v>360</v>
      </c>
      <c r="M89" s="47">
        <v>250</v>
      </c>
      <c r="N89" s="47">
        <v>100</v>
      </c>
      <c r="O89" s="48">
        <v>40</v>
      </c>
      <c r="P89" s="46">
        <f t="shared" si="57"/>
        <v>0</v>
      </c>
      <c r="Q89" s="47"/>
      <c r="R89" s="47"/>
      <c r="S89" s="47"/>
      <c r="T89" s="47"/>
      <c r="U89" s="46">
        <f t="shared" si="58"/>
        <v>9</v>
      </c>
      <c r="V89" s="47">
        <v>3</v>
      </c>
      <c r="W89" s="47">
        <v>3</v>
      </c>
      <c r="X89" s="47">
        <v>2</v>
      </c>
      <c r="Y89" s="47">
        <v>1</v>
      </c>
      <c r="Z89" s="46">
        <f t="shared" si="59"/>
        <v>4</v>
      </c>
      <c r="AA89" s="47"/>
      <c r="AB89" s="47">
        <v>1</v>
      </c>
      <c r="AC89" s="47">
        <v>1</v>
      </c>
      <c r="AD89" s="47">
        <v>1</v>
      </c>
      <c r="AE89" s="48">
        <v>1</v>
      </c>
      <c r="AF89" s="49"/>
      <c r="AG89" s="50"/>
      <c r="AH89" s="51"/>
    </row>
    <row r="90" spans="1:34" ht="19.899999999999999" customHeight="1">
      <c r="A90" s="52"/>
      <c r="B90" s="53"/>
      <c r="C90" s="54"/>
      <c r="D90" s="54"/>
      <c r="E90" s="52"/>
      <c r="F90" s="54"/>
      <c r="G90" s="55" t="s">
        <v>55</v>
      </c>
      <c r="H90" s="56">
        <f t="shared" si="55"/>
        <v>912</v>
      </c>
      <c r="I90" s="57">
        <f t="shared" si="56"/>
        <v>900</v>
      </c>
      <c r="J90" s="58">
        <v>10</v>
      </c>
      <c r="K90" s="58">
        <v>210</v>
      </c>
      <c r="L90" s="58">
        <v>360</v>
      </c>
      <c r="M90" s="58">
        <v>220</v>
      </c>
      <c r="N90" s="58">
        <v>70</v>
      </c>
      <c r="O90" s="59">
        <v>30</v>
      </c>
      <c r="P90" s="57">
        <f t="shared" si="57"/>
        <v>0</v>
      </c>
      <c r="Q90" s="58"/>
      <c r="R90" s="58"/>
      <c r="S90" s="58"/>
      <c r="T90" s="58"/>
      <c r="U90" s="57">
        <f t="shared" si="58"/>
        <v>8</v>
      </c>
      <c r="V90" s="58">
        <v>3</v>
      </c>
      <c r="W90" s="58">
        <v>3</v>
      </c>
      <c r="X90" s="58">
        <v>2</v>
      </c>
      <c r="Y90" s="58"/>
      <c r="Z90" s="57">
        <f t="shared" si="59"/>
        <v>4</v>
      </c>
      <c r="AA90" s="58"/>
      <c r="AB90" s="58">
        <v>1</v>
      </c>
      <c r="AC90" s="58">
        <v>1</v>
      </c>
      <c r="AD90" s="58">
        <v>1</v>
      </c>
      <c r="AE90" s="59">
        <v>1</v>
      </c>
      <c r="AF90" s="60"/>
      <c r="AG90" s="61"/>
      <c r="AH90" s="62"/>
    </row>
    <row r="91" spans="1:34" ht="19.899999999999999" customHeight="1">
      <c r="A91" s="52"/>
      <c r="B91" s="53"/>
      <c r="C91" s="54"/>
      <c r="D91" s="54"/>
      <c r="E91" s="52"/>
      <c r="F91" s="54"/>
      <c r="G91" s="55" t="s">
        <v>32</v>
      </c>
      <c r="H91" s="56">
        <f t="shared" si="55"/>
        <v>868</v>
      </c>
      <c r="I91" s="57">
        <f t="shared" si="56"/>
        <v>800</v>
      </c>
      <c r="J91" s="58">
        <v>10</v>
      </c>
      <c r="K91" s="58">
        <v>170</v>
      </c>
      <c r="L91" s="58">
        <v>290</v>
      </c>
      <c r="M91" s="58">
        <v>220</v>
      </c>
      <c r="N91" s="58">
        <v>70</v>
      </c>
      <c r="O91" s="59">
        <v>40</v>
      </c>
      <c r="P91" s="57">
        <f t="shared" si="57"/>
        <v>56</v>
      </c>
      <c r="Q91" s="58">
        <v>14</v>
      </c>
      <c r="R91" s="58">
        <v>14</v>
      </c>
      <c r="S91" s="58">
        <v>14</v>
      </c>
      <c r="T91" s="58">
        <v>14</v>
      </c>
      <c r="U91" s="57">
        <f t="shared" si="58"/>
        <v>8</v>
      </c>
      <c r="V91" s="58">
        <v>3</v>
      </c>
      <c r="W91" s="58">
        <v>3</v>
      </c>
      <c r="X91" s="58">
        <v>2</v>
      </c>
      <c r="Y91" s="58"/>
      <c r="Z91" s="57">
        <f t="shared" si="59"/>
        <v>4</v>
      </c>
      <c r="AA91" s="58"/>
      <c r="AB91" s="58">
        <v>1</v>
      </c>
      <c r="AC91" s="58">
        <v>1</v>
      </c>
      <c r="AD91" s="58">
        <v>1</v>
      </c>
      <c r="AE91" s="59">
        <v>1</v>
      </c>
      <c r="AF91" s="60"/>
      <c r="AG91" s="61"/>
      <c r="AH91" s="62"/>
    </row>
    <row r="92" spans="1:34" s="75" customFormat="1" ht="19.899999999999999" customHeight="1">
      <c r="A92" s="94"/>
      <c r="B92" s="95"/>
      <c r="C92" s="96"/>
      <c r="D92" s="96"/>
      <c r="E92" s="96"/>
      <c r="F92" s="96"/>
      <c r="G92" s="77" t="s">
        <v>104</v>
      </c>
      <c r="H92" s="56">
        <f t="shared" si="55"/>
        <v>609</v>
      </c>
      <c r="I92" s="57">
        <f t="shared" si="56"/>
        <v>600</v>
      </c>
      <c r="J92" s="58">
        <v>30</v>
      </c>
      <c r="K92" s="58">
        <v>145</v>
      </c>
      <c r="L92" s="58">
        <v>180</v>
      </c>
      <c r="M92" s="58">
        <v>140</v>
      </c>
      <c r="N92" s="58">
        <v>60</v>
      </c>
      <c r="O92" s="59">
        <v>45</v>
      </c>
      <c r="P92" s="57">
        <f t="shared" si="57"/>
        <v>0</v>
      </c>
      <c r="Q92" s="58"/>
      <c r="R92" s="58"/>
      <c r="S92" s="58"/>
      <c r="T92" s="58"/>
      <c r="U92" s="57">
        <f t="shared" si="58"/>
        <v>5</v>
      </c>
      <c r="V92" s="58">
        <v>2</v>
      </c>
      <c r="W92" s="58">
        <v>2</v>
      </c>
      <c r="X92" s="58">
        <v>1</v>
      </c>
      <c r="Y92" s="58"/>
      <c r="Z92" s="57">
        <f t="shared" si="59"/>
        <v>4</v>
      </c>
      <c r="AA92" s="58"/>
      <c r="AB92" s="58">
        <v>1</v>
      </c>
      <c r="AC92" s="58">
        <v>1</v>
      </c>
      <c r="AD92" s="58">
        <v>1</v>
      </c>
      <c r="AE92" s="59">
        <v>1</v>
      </c>
      <c r="AF92" s="97"/>
      <c r="AG92" s="98"/>
      <c r="AH92" s="76"/>
    </row>
    <row r="93" spans="1:34" s="75" customFormat="1" ht="19.899999999999999" customHeight="1">
      <c r="A93" s="94"/>
      <c r="B93" s="95"/>
      <c r="C93" s="96"/>
      <c r="D93" s="96"/>
      <c r="E93" s="96"/>
      <c r="F93" s="96"/>
      <c r="G93" s="77" t="s">
        <v>105</v>
      </c>
      <c r="H93" s="56">
        <f t="shared" si="55"/>
        <v>713</v>
      </c>
      <c r="I93" s="57">
        <f t="shared" si="56"/>
        <v>700</v>
      </c>
      <c r="J93" s="58">
        <v>10</v>
      </c>
      <c r="K93" s="58">
        <v>165</v>
      </c>
      <c r="L93" s="58">
        <v>245</v>
      </c>
      <c r="M93" s="58">
        <v>200</v>
      </c>
      <c r="N93" s="58">
        <v>60</v>
      </c>
      <c r="O93" s="59">
        <v>20</v>
      </c>
      <c r="P93" s="57">
        <f t="shared" si="57"/>
        <v>0</v>
      </c>
      <c r="Q93" s="58"/>
      <c r="R93" s="58"/>
      <c r="S93" s="58"/>
      <c r="T93" s="58"/>
      <c r="U93" s="57">
        <f t="shared" si="58"/>
        <v>9</v>
      </c>
      <c r="V93" s="58">
        <v>3</v>
      </c>
      <c r="W93" s="58">
        <v>3</v>
      </c>
      <c r="X93" s="58">
        <v>2</v>
      </c>
      <c r="Y93" s="58">
        <v>1</v>
      </c>
      <c r="Z93" s="57">
        <f t="shared" si="59"/>
        <v>4</v>
      </c>
      <c r="AA93" s="58"/>
      <c r="AB93" s="58">
        <v>1</v>
      </c>
      <c r="AC93" s="58">
        <v>1</v>
      </c>
      <c r="AD93" s="58">
        <v>1</v>
      </c>
      <c r="AE93" s="59">
        <v>1</v>
      </c>
      <c r="AF93" s="97"/>
      <c r="AG93" s="98"/>
      <c r="AH93" s="76"/>
    </row>
    <row r="94" spans="1:34" s="75" customFormat="1" ht="19.899999999999999" customHeight="1">
      <c r="A94" s="94"/>
      <c r="B94" s="95"/>
      <c r="C94" s="96"/>
      <c r="D94" s="96"/>
      <c r="E94" s="96"/>
      <c r="F94" s="96"/>
      <c r="G94" s="77" t="s">
        <v>106</v>
      </c>
      <c r="H94" s="56">
        <f t="shared" si="55"/>
        <v>568</v>
      </c>
      <c r="I94" s="57">
        <f t="shared" si="56"/>
        <v>500</v>
      </c>
      <c r="J94" s="58">
        <v>10</v>
      </c>
      <c r="K94" s="58">
        <v>100</v>
      </c>
      <c r="L94" s="58">
        <v>180</v>
      </c>
      <c r="M94" s="58">
        <v>130</v>
      </c>
      <c r="N94" s="58">
        <v>50</v>
      </c>
      <c r="O94" s="59">
        <v>30</v>
      </c>
      <c r="P94" s="57">
        <f t="shared" si="57"/>
        <v>56</v>
      </c>
      <c r="Q94" s="58">
        <v>14</v>
      </c>
      <c r="R94" s="58">
        <v>14</v>
      </c>
      <c r="S94" s="58">
        <v>14</v>
      </c>
      <c r="T94" s="58">
        <v>14</v>
      </c>
      <c r="U94" s="57">
        <f t="shared" si="58"/>
        <v>8</v>
      </c>
      <c r="V94" s="58">
        <v>3</v>
      </c>
      <c r="W94" s="58">
        <v>3</v>
      </c>
      <c r="X94" s="58">
        <v>2</v>
      </c>
      <c r="Y94" s="58"/>
      <c r="Z94" s="57">
        <f t="shared" si="59"/>
        <v>4</v>
      </c>
      <c r="AA94" s="58"/>
      <c r="AB94" s="58">
        <v>1</v>
      </c>
      <c r="AC94" s="58">
        <v>1</v>
      </c>
      <c r="AD94" s="58">
        <v>1</v>
      </c>
      <c r="AE94" s="59">
        <v>1</v>
      </c>
      <c r="AF94" s="97"/>
      <c r="AG94" s="98"/>
      <c r="AH94" s="76"/>
    </row>
    <row r="95" spans="1:34" ht="19.899999999999999" customHeight="1">
      <c r="A95" s="52"/>
      <c r="B95" s="53"/>
      <c r="C95" s="54"/>
      <c r="D95" s="54"/>
      <c r="E95" s="52"/>
      <c r="F95" s="54"/>
      <c r="G95" s="55" t="s">
        <v>31</v>
      </c>
      <c r="H95" s="56">
        <f t="shared" si="55"/>
        <v>713</v>
      </c>
      <c r="I95" s="57">
        <f t="shared" si="56"/>
        <v>700</v>
      </c>
      <c r="J95" s="58">
        <v>10</v>
      </c>
      <c r="K95" s="58">
        <v>190</v>
      </c>
      <c r="L95" s="58">
        <v>260</v>
      </c>
      <c r="M95" s="58">
        <v>170</v>
      </c>
      <c r="N95" s="58">
        <v>50</v>
      </c>
      <c r="O95" s="59">
        <v>20</v>
      </c>
      <c r="P95" s="57">
        <f t="shared" si="57"/>
        <v>0</v>
      </c>
      <c r="Q95" s="58"/>
      <c r="R95" s="58"/>
      <c r="S95" s="58"/>
      <c r="T95" s="58"/>
      <c r="U95" s="57">
        <f t="shared" si="58"/>
        <v>9</v>
      </c>
      <c r="V95" s="58">
        <v>3</v>
      </c>
      <c r="W95" s="58">
        <v>3</v>
      </c>
      <c r="X95" s="58">
        <v>2</v>
      </c>
      <c r="Y95" s="58">
        <v>1</v>
      </c>
      <c r="Z95" s="57">
        <f t="shared" si="59"/>
        <v>4</v>
      </c>
      <c r="AA95" s="58"/>
      <c r="AB95" s="58">
        <v>1</v>
      </c>
      <c r="AC95" s="58">
        <v>1</v>
      </c>
      <c r="AD95" s="58">
        <v>1</v>
      </c>
      <c r="AE95" s="59">
        <v>1</v>
      </c>
      <c r="AF95" s="60"/>
      <c r="AG95" s="61"/>
      <c r="AH95" s="62"/>
    </row>
    <row r="96" spans="1:34" ht="19.899999999999999" customHeight="1">
      <c r="A96" s="52"/>
      <c r="B96" s="53"/>
      <c r="C96" s="54"/>
      <c r="D96" s="54"/>
      <c r="E96" s="52"/>
      <c r="F96" s="54"/>
      <c r="G96" s="55" t="s">
        <v>82</v>
      </c>
      <c r="H96" s="56">
        <f t="shared" si="55"/>
        <v>600</v>
      </c>
      <c r="I96" s="57">
        <f t="shared" si="56"/>
        <v>600</v>
      </c>
      <c r="J96" s="58">
        <v>10</v>
      </c>
      <c r="K96" s="58">
        <v>140</v>
      </c>
      <c r="L96" s="58">
        <v>240</v>
      </c>
      <c r="M96" s="58">
        <v>150</v>
      </c>
      <c r="N96" s="58">
        <v>45</v>
      </c>
      <c r="O96" s="59">
        <v>15</v>
      </c>
      <c r="P96" s="57">
        <f t="shared" si="57"/>
        <v>0</v>
      </c>
      <c r="Q96" s="58"/>
      <c r="R96" s="58"/>
      <c r="S96" s="58"/>
      <c r="T96" s="58"/>
      <c r="U96" s="57">
        <f t="shared" si="58"/>
        <v>0</v>
      </c>
      <c r="V96" s="58"/>
      <c r="W96" s="58"/>
      <c r="X96" s="58"/>
      <c r="Y96" s="58"/>
      <c r="Z96" s="57">
        <f t="shared" si="59"/>
        <v>0</v>
      </c>
      <c r="AA96" s="58"/>
      <c r="AB96" s="58"/>
      <c r="AC96" s="58"/>
      <c r="AD96" s="58"/>
      <c r="AE96" s="59"/>
      <c r="AF96" s="60"/>
      <c r="AG96" s="61"/>
      <c r="AH96" s="62"/>
    </row>
    <row r="97" spans="1:34" s="23" customFormat="1" ht="19.899999999999999" customHeight="1">
      <c r="A97" s="31"/>
      <c r="B97" s="32">
        <v>46081</v>
      </c>
      <c r="C97" s="33"/>
      <c r="D97" s="33" t="s">
        <v>102</v>
      </c>
      <c r="E97" s="63" t="s">
        <v>107</v>
      </c>
      <c r="F97" s="33" t="s">
        <v>103</v>
      </c>
      <c r="G97" s="33" t="s">
        <v>29</v>
      </c>
      <c r="H97" s="34">
        <f t="shared" si="55"/>
        <v>400</v>
      </c>
      <c r="I97" s="35">
        <f t="shared" si="56"/>
        <v>400</v>
      </c>
      <c r="J97" s="35">
        <f t="shared" ref="J97:AE97" si="74">J98</f>
        <v>0</v>
      </c>
      <c r="K97" s="35">
        <f t="shared" si="74"/>
        <v>60</v>
      </c>
      <c r="L97" s="35">
        <f t="shared" si="74"/>
        <v>160</v>
      </c>
      <c r="M97" s="35">
        <f t="shared" si="74"/>
        <v>110</v>
      </c>
      <c r="N97" s="35">
        <f t="shared" si="74"/>
        <v>50</v>
      </c>
      <c r="O97" s="36">
        <f t="shared" si="74"/>
        <v>20</v>
      </c>
      <c r="P97" s="35">
        <f t="shared" si="57"/>
        <v>0</v>
      </c>
      <c r="Q97" s="35">
        <f t="shared" si="74"/>
        <v>0</v>
      </c>
      <c r="R97" s="35">
        <f t="shared" si="74"/>
        <v>0</v>
      </c>
      <c r="S97" s="35">
        <f t="shared" si="74"/>
        <v>0</v>
      </c>
      <c r="T97" s="35">
        <f t="shared" si="74"/>
        <v>0</v>
      </c>
      <c r="U97" s="35">
        <f t="shared" si="58"/>
        <v>0</v>
      </c>
      <c r="V97" s="35">
        <f t="shared" si="74"/>
        <v>0</v>
      </c>
      <c r="W97" s="35">
        <f t="shared" si="74"/>
        <v>0</v>
      </c>
      <c r="X97" s="35">
        <f t="shared" si="74"/>
        <v>0</v>
      </c>
      <c r="Y97" s="35">
        <f t="shared" si="74"/>
        <v>0</v>
      </c>
      <c r="Z97" s="35">
        <f t="shared" si="59"/>
        <v>0</v>
      </c>
      <c r="AA97" s="35">
        <f t="shared" si="74"/>
        <v>0</v>
      </c>
      <c r="AB97" s="35">
        <f t="shared" si="74"/>
        <v>0</v>
      </c>
      <c r="AC97" s="35">
        <f t="shared" si="74"/>
        <v>0</v>
      </c>
      <c r="AD97" s="35">
        <f t="shared" si="74"/>
        <v>0</v>
      </c>
      <c r="AE97" s="36">
        <f t="shared" si="74"/>
        <v>0</v>
      </c>
      <c r="AF97" s="37"/>
      <c r="AG97" s="38"/>
      <c r="AH97" s="39" t="s">
        <v>96</v>
      </c>
    </row>
    <row r="98" spans="1:34" ht="19.899999999999999" customHeight="1">
      <c r="A98" s="40"/>
      <c r="B98" s="41"/>
      <c r="C98" s="42"/>
      <c r="D98" s="42"/>
      <c r="E98" s="40"/>
      <c r="F98" s="43"/>
      <c r="G98" s="44" t="s">
        <v>81</v>
      </c>
      <c r="H98" s="45">
        <f t="shared" si="55"/>
        <v>400</v>
      </c>
      <c r="I98" s="46">
        <f t="shared" si="56"/>
        <v>400</v>
      </c>
      <c r="J98" s="47"/>
      <c r="K98" s="47">
        <v>60</v>
      </c>
      <c r="L98" s="47">
        <v>160</v>
      </c>
      <c r="M98" s="47">
        <v>110</v>
      </c>
      <c r="N98" s="47">
        <v>50</v>
      </c>
      <c r="O98" s="48">
        <v>20</v>
      </c>
      <c r="P98" s="46">
        <f t="shared" si="57"/>
        <v>0</v>
      </c>
      <c r="Q98" s="47"/>
      <c r="R98" s="47"/>
      <c r="S98" s="47"/>
      <c r="T98" s="47"/>
      <c r="U98" s="46">
        <f t="shared" si="58"/>
        <v>0</v>
      </c>
      <c r="V98" s="47"/>
      <c r="W98" s="47"/>
      <c r="X98" s="47"/>
      <c r="Y98" s="47"/>
      <c r="Z98" s="46">
        <f t="shared" si="59"/>
        <v>0</v>
      </c>
      <c r="AA98" s="47"/>
      <c r="AB98" s="47"/>
      <c r="AC98" s="47"/>
      <c r="AD98" s="47"/>
      <c r="AE98" s="48"/>
      <c r="AF98" s="49"/>
      <c r="AG98" s="50"/>
      <c r="AH98" s="51"/>
    </row>
    <row r="99" spans="1:34" s="23" customFormat="1" ht="19.899999999999999" customHeight="1">
      <c r="A99" s="31"/>
      <c r="B99" s="32">
        <v>46081</v>
      </c>
      <c r="C99" s="33"/>
      <c r="D99" s="33" t="s">
        <v>108</v>
      </c>
      <c r="E99" s="31" t="s">
        <v>92</v>
      </c>
      <c r="F99" s="33" t="s">
        <v>109</v>
      </c>
      <c r="G99" s="33" t="s">
        <v>51</v>
      </c>
      <c r="H99" s="34">
        <f t="shared" si="55"/>
        <v>1200</v>
      </c>
      <c r="I99" s="35">
        <f t="shared" si="56"/>
        <v>1200</v>
      </c>
      <c r="J99" s="35">
        <f t="shared" ref="J99" si="75">SUM(J100:J101)</f>
        <v>0</v>
      </c>
      <c r="K99" s="35">
        <f>SUM(K100:K101)</f>
        <v>180</v>
      </c>
      <c r="L99" s="35">
        <f t="shared" ref="L99:AE99" si="76">SUM(L100:L101)</f>
        <v>440</v>
      </c>
      <c r="M99" s="35">
        <f t="shared" si="76"/>
        <v>380</v>
      </c>
      <c r="N99" s="35">
        <f t="shared" si="76"/>
        <v>140</v>
      </c>
      <c r="O99" s="36">
        <f t="shared" si="76"/>
        <v>60</v>
      </c>
      <c r="P99" s="35">
        <f t="shared" si="57"/>
        <v>0</v>
      </c>
      <c r="Q99" s="35">
        <f t="shared" si="76"/>
        <v>0</v>
      </c>
      <c r="R99" s="35">
        <f t="shared" si="76"/>
        <v>0</v>
      </c>
      <c r="S99" s="35">
        <f t="shared" si="76"/>
        <v>0</v>
      </c>
      <c r="T99" s="35">
        <f t="shared" si="76"/>
        <v>0</v>
      </c>
      <c r="U99" s="35">
        <f t="shared" si="58"/>
        <v>0</v>
      </c>
      <c r="V99" s="35">
        <f t="shared" si="76"/>
        <v>0</v>
      </c>
      <c r="W99" s="35">
        <f t="shared" si="76"/>
        <v>0</v>
      </c>
      <c r="X99" s="35">
        <f t="shared" si="76"/>
        <v>0</v>
      </c>
      <c r="Y99" s="35">
        <f t="shared" si="76"/>
        <v>0</v>
      </c>
      <c r="Z99" s="35">
        <f t="shared" si="59"/>
        <v>0</v>
      </c>
      <c r="AA99" s="35">
        <f t="shared" si="76"/>
        <v>0</v>
      </c>
      <c r="AB99" s="35">
        <f t="shared" si="76"/>
        <v>0</v>
      </c>
      <c r="AC99" s="35">
        <f t="shared" si="76"/>
        <v>0</v>
      </c>
      <c r="AD99" s="35">
        <f t="shared" si="76"/>
        <v>0</v>
      </c>
      <c r="AE99" s="36">
        <f t="shared" si="76"/>
        <v>0</v>
      </c>
      <c r="AF99" s="37"/>
      <c r="AG99" s="38"/>
      <c r="AH99" s="39">
        <v>46227</v>
      </c>
    </row>
    <row r="100" spans="1:34" ht="19.899999999999999" customHeight="1">
      <c r="A100" s="40"/>
      <c r="B100" s="41"/>
      <c r="C100" s="42"/>
      <c r="D100" s="42"/>
      <c r="E100" s="40"/>
      <c r="F100" s="43"/>
      <c r="G100" s="44" t="s">
        <v>80</v>
      </c>
      <c r="H100" s="45">
        <f t="shared" si="55"/>
        <v>600</v>
      </c>
      <c r="I100" s="46">
        <f t="shared" si="56"/>
        <v>600</v>
      </c>
      <c r="J100" s="47"/>
      <c r="K100" s="47">
        <v>90</v>
      </c>
      <c r="L100" s="47">
        <v>220</v>
      </c>
      <c r="M100" s="47">
        <v>190</v>
      </c>
      <c r="N100" s="47">
        <v>70</v>
      </c>
      <c r="O100" s="48">
        <v>30</v>
      </c>
      <c r="P100" s="46">
        <f t="shared" si="57"/>
        <v>0</v>
      </c>
      <c r="Q100" s="47"/>
      <c r="R100" s="47"/>
      <c r="S100" s="47"/>
      <c r="T100" s="47"/>
      <c r="U100" s="46">
        <f t="shared" si="58"/>
        <v>0</v>
      </c>
      <c r="V100" s="47"/>
      <c r="W100" s="47"/>
      <c r="X100" s="47"/>
      <c r="Y100" s="47"/>
      <c r="Z100" s="46">
        <f t="shared" si="59"/>
        <v>0</v>
      </c>
      <c r="AA100" s="47"/>
      <c r="AB100" s="47"/>
      <c r="AC100" s="47"/>
      <c r="AD100" s="47"/>
      <c r="AE100" s="48"/>
      <c r="AF100" s="49"/>
      <c r="AG100" s="50"/>
      <c r="AH100" s="51"/>
    </row>
    <row r="101" spans="1:34" ht="19.899999999999999" customHeight="1">
      <c r="A101" s="52"/>
      <c r="B101" s="53"/>
      <c r="C101" s="54"/>
      <c r="D101" s="54"/>
      <c r="E101" s="52"/>
      <c r="F101" s="54"/>
      <c r="G101" s="55" t="s">
        <v>42</v>
      </c>
      <c r="H101" s="56">
        <f t="shared" si="55"/>
        <v>600</v>
      </c>
      <c r="I101" s="57">
        <f t="shared" si="56"/>
        <v>600</v>
      </c>
      <c r="J101" s="58"/>
      <c r="K101" s="58">
        <v>90</v>
      </c>
      <c r="L101" s="58">
        <v>220</v>
      </c>
      <c r="M101" s="58">
        <v>190</v>
      </c>
      <c r="N101" s="58">
        <v>70</v>
      </c>
      <c r="O101" s="59">
        <v>30</v>
      </c>
      <c r="P101" s="57">
        <f t="shared" si="57"/>
        <v>0</v>
      </c>
      <c r="Q101" s="58"/>
      <c r="R101" s="58"/>
      <c r="S101" s="58"/>
      <c r="T101" s="58"/>
      <c r="U101" s="57">
        <f t="shared" si="58"/>
        <v>0</v>
      </c>
      <c r="V101" s="58"/>
      <c r="W101" s="58"/>
      <c r="X101" s="58"/>
      <c r="Y101" s="58"/>
      <c r="Z101" s="57">
        <f t="shared" si="59"/>
        <v>0</v>
      </c>
      <c r="AA101" s="58"/>
      <c r="AB101" s="58"/>
      <c r="AC101" s="58"/>
      <c r="AD101" s="58"/>
      <c r="AE101" s="59"/>
      <c r="AF101" s="60"/>
      <c r="AG101" s="61"/>
      <c r="AH101" s="62"/>
    </row>
    <row r="102" spans="1:34" s="23" customFormat="1" ht="19.899999999999999" customHeight="1">
      <c r="A102" s="31"/>
      <c r="B102" s="32">
        <v>46081</v>
      </c>
      <c r="C102" s="33"/>
      <c r="D102" s="33" t="s">
        <v>108</v>
      </c>
      <c r="E102" s="63" t="s">
        <v>43</v>
      </c>
      <c r="F102" s="33" t="s">
        <v>109</v>
      </c>
      <c r="G102" s="33" t="s">
        <v>51</v>
      </c>
      <c r="H102" s="34">
        <f t="shared" si="55"/>
        <v>900</v>
      </c>
      <c r="I102" s="35">
        <f t="shared" si="56"/>
        <v>900</v>
      </c>
      <c r="J102" s="35">
        <f t="shared" ref="J102" si="77">SUM(J103:J104)</f>
        <v>0</v>
      </c>
      <c r="K102" s="35">
        <f>SUM(K103:K104)</f>
        <v>130</v>
      </c>
      <c r="L102" s="35">
        <f t="shared" ref="L102:O102" si="78">SUM(L103:L104)</f>
        <v>320</v>
      </c>
      <c r="M102" s="35">
        <f t="shared" si="78"/>
        <v>290</v>
      </c>
      <c r="N102" s="35">
        <f t="shared" si="78"/>
        <v>110</v>
      </c>
      <c r="O102" s="36">
        <f t="shared" si="78"/>
        <v>50</v>
      </c>
      <c r="P102" s="35">
        <f t="shared" si="57"/>
        <v>0</v>
      </c>
      <c r="Q102" s="35">
        <f t="shared" ref="Q102:T102" si="79">SUM(Q103:Q104)</f>
        <v>0</v>
      </c>
      <c r="R102" s="35">
        <f t="shared" si="79"/>
        <v>0</v>
      </c>
      <c r="S102" s="35">
        <f t="shared" si="79"/>
        <v>0</v>
      </c>
      <c r="T102" s="35">
        <f t="shared" si="79"/>
        <v>0</v>
      </c>
      <c r="U102" s="35">
        <f t="shared" si="58"/>
        <v>0</v>
      </c>
      <c r="V102" s="35">
        <f t="shared" ref="V102:Y102" si="80">SUM(V103:V104)</f>
        <v>0</v>
      </c>
      <c r="W102" s="35">
        <f t="shared" si="80"/>
        <v>0</v>
      </c>
      <c r="X102" s="35">
        <f t="shared" si="80"/>
        <v>0</v>
      </c>
      <c r="Y102" s="35">
        <f t="shared" si="80"/>
        <v>0</v>
      </c>
      <c r="Z102" s="35">
        <f t="shared" si="59"/>
        <v>0</v>
      </c>
      <c r="AA102" s="35">
        <f t="shared" ref="AA102:AE102" si="81">SUM(AA103:AA104)</f>
        <v>0</v>
      </c>
      <c r="AB102" s="35">
        <f t="shared" si="81"/>
        <v>0</v>
      </c>
      <c r="AC102" s="35">
        <f t="shared" si="81"/>
        <v>0</v>
      </c>
      <c r="AD102" s="35">
        <f t="shared" si="81"/>
        <v>0</v>
      </c>
      <c r="AE102" s="36">
        <f t="shared" si="81"/>
        <v>0</v>
      </c>
      <c r="AF102" s="37"/>
      <c r="AG102" s="38"/>
      <c r="AH102" s="39" t="s">
        <v>96</v>
      </c>
    </row>
    <row r="103" spans="1:34" ht="19.899999999999999" customHeight="1">
      <c r="A103" s="40"/>
      <c r="B103" s="41"/>
      <c r="C103" s="42"/>
      <c r="D103" s="42"/>
      <c r="E103" s="40"/>
      <c r="F103" s="43"/>
      <c r="G103" s="44" t="s">
        <v>80</v>
      </c>
      <c r="H103" s="45">
        <f t="shared" si="55"/>
        <v>500</v>
      </c>
      <c r="I103" s="46">
        <f t="shared" si="56"/>
        <v>500</v>
      </c>
      <c r="J103" s="47"/>
      <c r="K103" s="47">
        <v>70</v>
      </c>
      <c r="L103" s="47">
        <v>180</v>
      </c>
      <c r="M103" s="47">
        <v>160</v>
      </c>
      <c r="N103" s="47">
        <v>60</v>
      </c>
      <c r="O103" s="48">
        <v>30</v>
      </c>
      <c r="P103" s="46">
        <f t="shared" si="57"/>
        <v>0</v>
      </c>
      <c r="Q103" s="47"/>
      <c r="R103" s="47"/>
      <c r="S103" s="47"/>
      <c r="T103" s="47"/>
      <c r="U103" s="46">
        <f t="shared" si="58"/>
        <v>0</v>
      </c>
      <c r="V103" s="47"/>
      <c r="W103" s="47"/>
      <c r="X103" s="47"/>
      <c r="Y103" s="47"/>
      <c r="Z103" s="46">
        <f t="shared" si="59"/>
        <v>0</v>
      </c>
      <c r="AA103" s="47"/>
      <c r="AB103" s="47"/>
      <c r="AC103" s="47"/>
      <c r="AD103" s="47"/>
      <c r="AE103" s="48"/>
      <c r="AF103" s="49"/>
      <c r="AG103" s="50"/>
      <c r="AH103" s="51"/>
    </row>
    <row r="104" spans="1:34" ht="19.899999999999999" customHeight="1">
      <c r="A104" s="64"/>
      <c r="B104" s="65"/>
      <c r="C104" s="66"/>
      <c r="D104" s="66"/>
      <c r="E104" s="64"/>
      <c r="F104" s="66"/>
      <c r="G104" s="67" t="s">
        <v>42</v>
      </c>
      <c r="H104" s="68">
        <f t="shared" si="55"/>
        <v>400</v>
      </c>
      <c r="I104" s="69">
        <f t="shared" si="56"/>
        <v>400</v>
      </c>
      <c r="J104" s="70"/>
      <c r="K104" s="70">
        <v>60</v>
      </c>
      <c r="L104" s="70">
        <v>140</v>
      </c>
      <c r="M104" s="70">
        <v>130</v>
      </c>
      <c r="N104" s="70">
        <v>50</v>
      </c>
      <c r="O104" s="71">
        <v>20</v>
      </c>
      <c r="P104" s="69">
        <f t="shared" si="57"/>
        <v>0</v>
      </c>
      <c r="Q104" s="70"/>
      <c r="R104" s="70"/>
      <c r="S104" s="70"/>
      <c r="T104" s="70"/>
      <c r="U104" s="69">
        <f t="shared" si="58"/>
        <v>0</v>
      </c>
      <c r="V104" s="70"/>
      <c r="W104" s="70"/>
      <c r="X104" s="70"/>
      <c r="Y104" s="70"/>
      <c r="Z104" s="69">
        <f t="shared" si="59"/>
        <v>0</v>
      </c>
      <c r="AA104" s="70"/>
      <c r="AB104" s="70"/>
      <c r="AC104" s="70"/>
      <c r="AD104" s="70"/>
      <c r="AE104" s="71"/>
      <c r="AF104" s="72"/>
      <c r="AG104" s="73"/>
      <c r="AH104" s="74"/>
    </row>
    <row r="105" spans="1:34">
      <c r="H105" s="78">
        <f>SUMIF($G$50:$G$104,"TTL",H50:H104)</f>
        <v>23390</v>
      </c>
    </row>
    <row r="106" spans="1:34">
      <c r="F106" s="1">
        <f>30630/2</f>
        <v>15315</v>
      </c>
    </row>
  </sheetData>
  <mergeCells count="16">
    <mergeCell ref="F48:F49"/>
    <mergeCell ref="G48:G49"/>
    <mergeCell ref="AG2:AH2"/>
    <mergeCell ref="AG3:AH3"/>
    <mergeCell ref="A4:A5"/>
    <mergeCell ref="B4:B5"/>
    <mergeCell ref="C4:C5"/>
    <mergeCell ref="D4:D5"/>
    <mergeCell ref="E4:E5"/>
    <mergeCell ref="F4:F5"/>
    <mergeCell ref="G4:G5"/>
    <mergeCell ref="A48:A49"/>
    <mergeCell ref="B48:B49"/>
    <mergeCell ref="C48:C49"/>
    <mergeCell ref="D48:D49"/>
    <mergeCell ref="E48:E49"/>
  </mergeCells>
  <phoneticPr fontId="2" type="noConversion"/>
  <printOptions horizontalCentered="1"/>
  <pageMargins left="0.25" right="0.25" top="0.75" bottom="0.75" header="0.3" footer="0.3"/>
  <pageSetup paperSize="8" scale="4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A7E01-A0D1-4AA0-95C3-AEEE611071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C5A35D-EAA2-4378-A4E8-BFCEEC6FFD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A0C5C9-3B26-467A-A22A-5093ACC890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HZ</vt:lpstr>
      <vt:lpstr>HZ!Print_Area</vt:lpstr>
      <vt:lpstr>HZ!Print_Titles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LF_USER</dc:creator>
  <cp:lastModifiedBy>Ana Le, Pham Thi /THV/PPC</cp:lastModifiedBy>
  <dcterms:created xsi:type="dcterms:W3CDTF">2026-03-12T10:43:38Z</dcterms:created>
  <dcterms:modified xsi:type="dcterms:W3CDTF">2026-05-04T08:26:43Z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