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squel-my.sharepoint.com/personal/eel_020_esquel_com/egv/THV PPC/PPC Document (O drive)/3. Teams/2. Account Holder/Team 3/10. HAZZYS/FW26/0. PO/ECUS PO 4.28/Men Main/"/>
    </mc:Choice>
  </mc:AlternateContent>
  <xr:revisionPtr revIDLastSave="795" documentId="11_174ACA6037D155747387C04B801B40F4DD372582" xr6:coauthVersionLast="47" xr6:coauthVersionMax="47" xr10:uidLastSave="{E5281EB3-F266-4282-80E5-3C50AC1FE68C}"/>
  <bookViews>
    <workbookView xWindow="-108" yWindow="-108" windowWidth="23256" windowHeight="12576" xr2:uid="{00000000-000D-0000-FFFF-FFFF00000000}"/>
  </bookViews>
  <sheets>
    <sheet name="리포트1" sheetId="1" r:id="rId1"/>
    <sheet name="Cleaned" sheetId="4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4" l="1"/>
  <c r="I8" i="4"/>
  <c r="H8" i="4"/>
  <c r="G8" i="4"/>
  <c r="F8" i="4"/>
  <c r="E8" i="4"/>
  <c r="J7" i="4"/>
  <c r="J6" i="4"/>
  <c r="J5" i="4"/>
  <c r="J4" i="4"/>
  <c r="J3" i="4"/>
  <c r="J2" i="4"/>
  <c r="P29" i="1"/>
  <c r="P28" i="1"/>
  <c r="P25" i="1"/>
  <c r="P24" i="1"/>
</calcChain>
</file>

<file path=xl/sharedStrings.xml><?xml version="1.0" encoding="utf-8"?>
<sst xmlns="http://schemas.openxmlformats.org/spreadsheetml/2006/main" count="97" uniqueCount="44">
  <si>
    <t>COLOR/SIZE ASSORTMENT</t>
  </si>
  <si>
    <t>BRAND :</t>
  </si>
  <si>
    <t>SEASON :</t>
  </si>
  <si>
    <t>ITEM :</t>
  </si>
  <si>
    <t>STYLE NO :</t>
  </si>
  <si>
    <t>HAZZYS MEN(헤지스남성)</t>
  </si>
  <si>
    <t>F/W</t>
  </si>
  <si>
    <t>26</t>
  </si>
  <si>
    <t>Shirt(셔츠)</t>
  </si>
  <si>
    <t>HZSH6C331 - 01</t>
  </si>
  <si>
    <t>COMPANY :</t>
  </si>
  <si>
    <t>Tessellation International Limited</t>
  </si>
  <si>
    <t>Color ＼ Size</t>
  </si>
  <si>
    <t>00S</t>
  </si>
  <si>
    <t>00M</t>
  </si>
  <si>
    <t>00L</t>
  </si>
  <si>
    <t>0XL</t>
  </si>
  <si>
    <t>XXL</t>
  </si>
  <si>
    <t>SUM</t>
  </si>
  <si>
    <t>N2</t>
  </si>
  <si>
    <t>NORMAL NAVY</t>
  </si>
  <si>
    <t>W2</t>
  </si>
  <si>
    <t>NORMAL BROWN</t>
  </si>
  <si>
    <t>Customer</t>
  </si>
  <si>
    <t>참조 설계문서</t>
  </si>
  <si>
    <t>배송처</t>
  </si>
  <si>
    <t>LF Korea</t>
  </si>
  <si>
    <t>내수용</t>
  </si>
  <si>
    <t>LF</t>
  </si>
  <si>
    <t>ASIAN BRANDS CORPORATION LLP</t>
  </si>
  <si>
    <t>MUNSIN GARMENT CORP</t>
  </si>
  <si>
    <t>COLOR SUM</t>
  </si>
  <si>
    <t>TOTAL SUM</t>
  </si>
  <si>
    <t>※"(직송)"은 LF 발주 수량 외 추가로 생산의뢰된 수량입니다. 생산담당자와 확인 후 작업 진행바랍니다.</t>
  </si>
  <si>
    <t>Color</t>
  </si>
  <si>
    <t>TOTAL</t>
  </si>
  <si>
    <t>Destination</t>
  </si>
  <si>
    <t>INDIA</t>
  </si>
  <si>
    <t>TAIWAN</t>
  </si>
  <si>
    <t>Style No</t>
  </si>
  <si>
    <t>HZSH6C331-01</t>
  </si>
  <si>
    <t>N2 - NORMAL NAVY</t>
  </si>
  <si>
    <t>W2 - NORMAL BROWN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</si>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</sst>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>
    <font>
      <sz val="10"/>
      <color theme="1"/>
      <name val="Arial"/>
    </font>
    <font>
      <b/>
      <u/>
      <sz val="14"/>
      <color rgb="FF000000"/>
      <name val="견고딕"/>
      <charset val="129"/>
    </font>
    <font>
      <sz val="8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000000"/>
      <name val="견고딕"/>
      <charset val="129"/>
    </font>
    <font>
      <sz val="9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</font>
    <font>
      <b/>
      <sz val="10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D9E1F2"/>
        <bgColor indexed="64"/>
      </patternFill>
    </fill>
    <fill>
      <patternFill patternType="solid">
        <fgColor rgb="FF305496"/>
        <bgColor indexed="64"/>
      </patternFill>
    </fill>
  </fills>
  <borders count="3">
    <border>
      <left/>
      <right/>
      <top/>
      <bottom/>
      <diagonal/>
    </border>
    <border>
      <left style="thin">
        <color rgb="FF5D5D5D"/>
      </left>
      <right style="thin">
        <color rgb="FF5D5D5D"/>
      </right>
      <top style="thin">
        <color rgb="FF5D5D5D"/>
      </top>
      <bottom style="thin">
        <color rgb="FF5D5D5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3">
    <xf numFmtId="0" fontId="0" fillId="0" borderId="0" xfId="0"/>
    <xf numFmtId="164" fontId="0" fillId="0" borderId="0" xfId="1" applyNumberFormat="1" applyFont="1"/>
    <xf numFmtId="164" fontId="2" fillId="3" borderId="1" xfId="1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vertical="center"/>
    </xf>
    <xf numFmtId="164" fontId="2" fillId="2" borderId="2" xfId="1" applyNumberFormat="1" applyFont="1" applyFill="1" applyBorder="1" applyAlignment="1">
      <alignment vertical="center"/>
    </xf>
    <xf numFmtId="0" fontId="7" fillId="4" borderId="0" xfId="0" applyFont="1" applyFill="1"/>
    <xf numFmtId="0" fontId="8" fillId="5" borderId="0" xfId="0" applyFont="1" applyFill="1" applyAlignment="1">
      <alignment horizontal="center"/>
    </xf>
    <xf numFmtId="0" fontId="0" fillId="4" borderId="0" xfId="0" applyFill="1"/>
    <xf numFmtId="49" fontId="5" fillId="0" borderId="0" xfId="0" applyNumberFormat="1" applyFont="1" applyAlignment="1">
      <alignment horizontal="left" vertical="center"/>
    </xf>
    <xf numFmtId="164" fontId="2" fillId="3" borderId="1" xfId="1" applyNumberFormat="1" applyFont="1" applyFill="1" applyBorder="1" applyAlignment="1">
      <alignment horizontal="right" vertical="center"/>
    </xf>
    <xf numFmtId="164" fontId="2" fillId="3" borderId="1" xfId="1" applyNumberFormat="1" applyFont="1" applyFill="1" applyBorder="1" applyAlignment="1">
      <alignment horizontal="center" vertical="center"/>
    </xf>
    <xf numFmtId="164" fontId="2" fillId="2" borderId="2" xfId="1" applyNumberFormat="1" applyFont="1" applyFill="1" applyBorder="1" applyAlignment="1">
      <alignment horizontal="right" vertical="center"/>
    </xf>
    <xf numFmtId="164" fontId="2" fillId="2" borderId="2" xfId="1" applyNumberFormat="1" applyFont="1" applyFill="1" applyBorder="1" applyAlignment="1">
      <alignment horizontal="center" vertical="center"/>
    </xf>
    <xf numFmtId="164" fontId="2" fillId="2" borderId="2" xfId="1" applyNumberFormat="1" applyFont="1" applyFill="1" applyBorder="1" applyAlignment="1">
      <alignment horizontal="left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1" fillId="2" borderId="0" xfId="0" applyNumberFormat="1" applyFont="1" applyFill="1" applyAlignment="1">
      <alignment horizontal="center" vertical="top"/>
    </xf>
    <xf numFmtId="49" fontId="2" fillId="0" borderId="0" xfId="0" applyNumberFormat="1" applyFont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51</xdr:col>
      <xdr:colOff>388620</xdr:colOff>
      <xdr:row>13</xdr:row>
      <xdr:rowOff>0</xdr:rowOff>
    </xdr:to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prstGeom prst="rect">
          <a:avLst/>
        </a:prstGeom>
        <a:solidFill>
          <a:srgbClr val="FFFFFF"/>
        </a:solidFill>
        <a:ln w="12700" cmpd="sng">
          <a:solidFill>
            <a:srgbClr val="5D5D5D"/>
          </a:solidFill>
          <a:prstDash val="solid"/>
        </a:ln>
      </xdr:spPr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HAZZYS%20Order%20Recap%20FW26.xlsx" TargetMode="External"/><Relationship Id="rId2" Type="http://schemas.openxmlformats.org/officeDocument/2006/relationships/externalLinkPath" Target="https://esquel-my.sharepoint.com/personal/eel_020_esquel_com/egv/THV%20PPC/PPC%20Document%20(O%20drive)/3.%20Teams/2.%20Account%20Holder/Team%203/10.%20HAZZYS/FW26/HAZZYS%20Order%20Recap%20FW26.xlsx" TargetMode="External"/><Relationship Id="rId1" Type="http://schemas.openxmlformats.org/officeDocument/2006/relationships/externalLinkPath" Target="/personal/eel_020_esquel_com/egv/THV%20PPC/PPC%20Document%20(O%20drive)/3.%20Teams/2.%20Account%20Holder/Team%203/10.%20HAZZYS/FW26/HAZZYS%20Order%20Recap%20FW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rder Sheet"/>
      <sheetName val="Sheet1"/>
      <sheetName val="Liability"/>
      <sheetName val="update SBD"/>
      <sheetName val="Order Detail"/>
      <sheetName val="Sample recap"/>
      <sheetName val="Fabric"/>
      <sheetName val="PLO"/>
      <sheetName val="Note"/>
      <sheetName val="AWB"/>
      <sheetName val="Prod"/>
      <sheetName val="pivot"/>
    </sheetNames>
    <sheetDataSet>
      <sheetData sheetId="0"/>
      <sheetData sheetId="1"/>
      <sheetData sheetId="2"/>
      <sheetData sheetId="3">
        <row r="14">
          <cell r="H14" t="str">
            <v>MUNSIN GARMENT CORP</v>
          </cell>
          <cell r="I14" t="str">
            <v>TAIWAN</v>
          </cell>
        </row>
        <row r="15">
          <cell r="H15" t="str">
            <v>LIMITED LIABILITY COMPANY</v>
          </cell>
          <cell r="I15" t="str">
            <v>RUSSIA</v>
          </cell>
        </row>
        <row r="16">
          <cell r="H16" t="str">
            <v>Sankyo Seiko (Asia Pacific) Co.,Ltd</v>
          </cell>
          <cell r="I16" t="str">
            <v>HONG KONG</v>
          </cell>
        </row>
        <row r="17">
          <cell r="H17" t="str">
            <v>ASIAN BRANDS CORPORATION LLP</v>
          </cell>
          <cell r="I17" t="str">
            <v>INDIA</v>
          </cell>
        </row>
        <row r="18">
          <cell r="H18" t="str">
            <v>한국통상</v>
          </cell>
          <cell r="I18" t="str">
            <v>VIETNAM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483121A-2553-4DC4-835C-2F2E81197DFE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f6acb4e7-9fd4-448e-b5d2-e09297fa925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33"/>
  <sheetViews>
    <sheetView tabSelected="1" topLeftCell="A5" workbookViewId="0">
      <pane xSplit="19" ySplit="13" topLeftCell="T18" activePane="bottomRight" state="frozen"/>
      <selection activeCell="A5" sqref="A5"/>
      <selection pane="topRight" activeCell="T5" sqref="T5"/>
      <selection pane="bottomLeft" activeCell="A18" sqref="A18"/>
      <selection pane="bottomRight" activeCell="AP33" sqref="AP33"/>
    </sheetView>
  </sheetViews>
  <sheetFormatPr defaultRowHeight="13.2"/>
  <cols>
    <col min="1" max="1" width="0.33203125" customWidth="1"/>
    <col min="2" max="2" width="3.5546875" customWidth="1"/>
    <col min="3" max="3" width="1.33203125" customWidth="1"/>
    <col min="4" max="4" width="0.33203125" customWidth="1"/>
    <col min="5" max="5" width="0.88671875" customWidth="1"/>
    <col min="6" max="6" width="0.33203125" customWidth="1"/>
    <col min="7" max="7" width="0.5546875" customWidth="1"/>
    <col min="8" max="8" width="0.33203125" customWidth="1"/>
    <col min="9" max="9" width="1.5546875" customWidth="1"/>
    <col min="10" max="10" width="0.6640625" customWidth="1"/>
    <col min="11" max="11" width="0.33203125" customWidth="1"/>
    <col min="12" max="12" width="4" customWidth="1"/>
    <col min="13" max="13" width="1.5546875" customWidth="1"/>
    <col min="14" max="14" width="13.21875" customWidth="1"/>
    <col min="15" max="15" width="0.5546875" customWidth="1"/>
    <col min="16" max="16" width="5.5546875" customWidth="1"/>
    <col min="17" max="17" width="3.109375" customWidth="1"/>
    <col min="18" max="18" width="1.33203125" customWidth="1"/>
    <col min="19" max="19" width="11.6640625" customWidth="1"/>
    <col min="20" max="20" width="0.109375" customWidth="1"/>
    <col min="21" max="21" width="5.33203125" customWidth="1"/>
    <col min="22" max="22" width="1" customWidth="1"/>
    <col min="23" max="23" width="0.44140625" customWidth="1"/>
    <col min="24" max="24" width="0.109375" customWidth="1"/>
    <col min="25" max="25" width="7" customWidth="1"/>
    <col min="26" max="26" width="0.109375" customWidth="1"/>
    <col min="27" max="28" width="0.44140625" customWidth="1"/>
    <col min="29" max="29" width="6" customWidth="1"/>
    <col min="30" max="30" width="0.109375" customWidth="1"/>
    <col min="31" max="31" width="3.109375" customWidth="1"/>
    <col min="32" max="32" width="3.6640625" customWidth="1"/>
    <col min="33" max="33" width="0.109375" customWidth="1"/>
    <col min="34" max="34" width="6.6640625" customWidth="1"/>
    <col min="35" max="35" width="0.33203125" customWidth="1"/>
    <col min="36" max="36" width="0.109375" customWidth="1"/>
    <col min="37" max="37" width="3.5546875" customWidth="1"/>
    <col min="38" max="38" width="3.44140625" customWidth="1"/>
    <col min="39" max="39" width="0.109375" customWidth="1"/>
    <col min="40" max="40" width="7" customWidth="1"/>
    <col min="41" max="41" width="0.109375" customWidth="1"/>
    <col min="42" max="42" width="7" customWidth="1"/>
    <col min="43" max="43" width="0.109375" customWidth="1"/>
    <col min="44" max="44" width="7" customWidth="1"/>
    <col min="45" max="45" width="0.109375" customWidth="1"/>
    <col min="46" max="46" width="7" customWidth="1"/>
    <col min="47" max="47" width="0.109375" customWidth="1"/>
    <col min="48" max="48" width="7" customWidth="1"/>
    <col min="49" max="49" width="0.109375" customWidth="1"/>
    <col min="50" max="50" width="7" customWidth="1"/>
    <col min="51" max="51" width="0.109375" customWidth="1"/>
    <col min="52" max="52" width="7" customWidth="1"/>
    <col min="53" max="53" width="0.109375" customWidth="1"/>
  </cols>
  <sheetData>
    <row r="1" spans="2:37" ht="7.95" customHeight="1"/>
    <row r="2" spans="2:37" ht="23.25" customHeight="1">
      <c r="V2" s="20" t="s">
        <v>0</v>
      </c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</row>
    <row r="3" spans="2:37" ht="11.85" customHeight="1"/>
    <row r="4" spans="2:37" ht="3.45" customHeight="1"/>
    <row r="5" spans="2:37" ht="11.1" customHeight="1">
      <c r="B5" s="21" t="s">
        <v>1</v>
      </c>
      <c r="C5" s="21"/>
      <c r="D5" s="21"/>
      <c r="E5" s="21"/>
      <c r="F5" s="21"/>
      <c r="G5" s="22" t="s">
        <v>5</v>
      </c>
      <c r="H5" s="22"/>
      <c r="I5" s="22"/>
      <c r="J5" s="22"/>
      <c r="K5" s="22"/>
      <c r="L5" s="22"/>
      <c r="M5" s="22"/>
      <c r="N5" s="22"/>
      <c r="O5" s="22"/>
      <c r="P5" s="22"/>
      <c r="Q5" s="22"/>
      <c r="W5" s="21" t="s">
        <v>10</v>
      </c>
      <c r="X5" s="21"/>
      <c r="Y5" s="21"/>
      <c r="Z5" s="21"/>
      <c r="AA5" s="21"/>
      <c r="AB5" s="21"/>
      <c r="AC5" s="22" t="s">
        <v>11</v>
      </c>
      <c r="AD5" s="22"/>
      <c r="AE5" s="22"/>
      <c r="AF5" s="22"/>
      <c r="AG5" s="22"/>
      <c r="AH5" s="22"/>
    </row>
    <row r="6" spans="2:37" ht="1.5" customHeight="1"/>
    <row r="7" spans="2:37" ht="11.1" customHeight="1">
      <c r="B7" s="21" t="s">
        <v>2</v>
      </c>
      <c r="C7" s="21"/>
      <c r="D7" s="21"/>
      <c r="E7" s="21"/>
      <c r="F7" s="21"/>
      <c r="G7" s="21"/>
      <c r="H7" s="21"/>
      <c r="I7" s="22" t="s">
        <v>7</v>
      </c>
      <c r="J7" s="22"/>
      <c r="K7" s="22"/>
      <c r="L7" s="22" t="s">
        <v>6</v>
      </c>
      <c r="M7" s="22"/>
    </row>
    <row r="8" spans="2:37" ht="2.1" customHeight="1">
      <c r="E8" s="22" t="s">
        <v>8</v>
      </c>
      <c r="F8" s="22"/>
      <c r="G8" s="22"/>
      <c r="H8" s="22"/>
      <c r="I8" s="22"/>
      <c r="J8" s="22"/>
      <c r="K8" s="22"/>
      <c r="L8" s="22"/>
      <c r="M8" s="22"/>
      <c r="N8" s="22"/>
    </row>
    <row r="9" spans="2:37" ht="9.75" customHeight="1">
      <c r="B9" s="21" t="s">
        <v>3</v>
      </c>
      <c r="C9" s="21"/>
      <c r="D9" s="21"/>
      <c r="E9" s="22"/>
      <c r="F9" s="22"/>
      <c r="G9" s="22"/>
      <c r="H9" s="22"/>
      <c r="I9" s="22"/>
      <c r="J9" s="22"/>
      <c r="K9" s="22"/>
      <c r="L9" s="22"/>
      <c r="M9" s="22"/>
      <c r="N9" s="22"/>
    </row>
    <row r="10" spans="2:37" ht="1.35" customHeight="1">
      <c r="B10" s="21"/>
      <c r="C10" s="21"/>
      <c r="D10" s="21"/>
    </row>
    <row r="11" spans="2:37" ht="1.35" customHeight="1"/>
    <row r="12" spans="2:37" ht="12" customHeight="1">
      <c r="B12" s="17" t="s">
        <v>4</v>
      </c>
      <c r="C12" s="17"/>
      <c r="D12" s="17"/>
      <c r="E12" s="17"/>
      <c r="F12" s="17"/>
      <c r="G12" s="17"/>
      <c r="H12" s="17"/>
      <c r="I12" s="17"/>
      <c r="J12" s="17"/>
      <c r="K12" s="18" t="s">
        <v>9</v>
      </c>
      <c r="L12" s="18"/>
      <c r="M12" s="18"/>
      <c r="N12" s="18"/>
      <c r="O12" s="18"/>
      <c r="P12" s="18"/>
    </row>
    <row r="13" spans="2:37" ht="1.65" customHeight="1"/>
    <row r="14" spans="2:37" ht="8.85" customHeight="1"/>
    <row r="15" spans="2:37" ht="7.95" customHeight="1">
      <c r="B15" s="19" t="s">
        <v>0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</row>
    <row r="16" spans="2:37" ht="1.65" customHeight="1"/>
    <row r="17" spans="1:60" ht="14.25" customHeight="1">
      <c r="A17" s="16" t="s">
        <v>12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 t="s">
        <v>13</v>
      </c>
      <c r="U17" s="16"/>
      <c r="V17" s="16"/>
      <c r="W17" s="16"/>
      <c r="X17" s="16" t="s">
        <v>14</v>
      </c>
      <c r="Y17" s="16"/>
      <c r="Z17" s="16" t="s">
        <v>15</v>
      </c>
      <c r="AA17" s="16"/>
      <c r="AB17" s="16"/>
      <c r="AC17" s="16"/>
      <c r="AD17" s="16" t="s">
        <v>16</v>
      </c>
      <c r="AE17" s="16"/>
      <c r="AF17" s="16"/>
      <c r="AG17" s="16" t="s">
        <v>17</v>
      </c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 t="s">
        <v>18</v>
      </c>
      <c r="AZ17" s="16"/>
      <c r="BB17" s="3" t="s">
        <v>13</v>
      </c>
      <c r="BC17" s="3" t="s">
        <v>14</v>
      </c>
      <c r="BD17" s="3" t="s">
        <v>15</v>
      </c>
      <c r="BE17" s="3" t="s">
        <v>16</v>
      </c>
      <c r="BF17" s="3" t="s">
        <v>17</v>
      </c>
      <c r="BG17" s="3"/>
      <c r="BH17" s="3"/>
    </row>
    <row r="18" spans="1:60" ht="14.25" customHeight="1">
      <c r="A18" s="12" t="s">
        <v>19</v>
      </c>
      <c r="B18" s="12"/>
      <c r="C18" s="12"/>
      <c r="D18" s="12"/>
      <c r="E18" s="12"/>
      <c r="F18" s="12"/>
      <c r="G18" s="12"/>
      <c r="H18" s="12"/>
      <c r="I18" s="15" t="s">
        <v>20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1">
        <v>191</v>
      </c>
      <c r="U18" s="11"/>
      <c r="V18" s="11"/>
      <c r="W18" s="11"/>
      <c r="X18" s="11">
        <v>283</v>
      </c>
      <c r="Y18" s="11"/>
      <c r="Z18" s="11">
        <v>206</v>
      </c>
      <c r="AA18" s="11"/>
      <c r="AB18" s="11"/>
      <c r="AC18" s="11"/>
      <c r="AD18" s="11">
        <v>73</v>
      </c>
      <c r="AE18" s="11"/>
      <c r="AF18" s="11"/>
      <c r="AG18" s="11">
        <v>21</v>
      </c>
      <c r="AH18" s="11"/>
      <c r="AI18" s="11"/>
      <c r="AJ18" s="11">
        <v>0</v>
      </c>
      <c r="AK18" s="11"/>
      <c r="AL18" s="11"/>
      <c r="AM18" s="11">
        <v>0</v>
      </c>
      <c r="AN18" s="11"/>
      <c r="AO18" s="11">
        <v>0</v>
      </c>
      <c r="AP18" s="11"/>
      <c r="AQ18" s="11">
        <v>0</v>
      </c>
      <c r="AR18" s="11"/>
      <c r="AS18" s="11">
        <v>0</v>
      </c>
      <c r="AT18" s="11"/>
      <c r="AU18" s="11">
        <v>0</v>
      </c>
      <c r="AV18" s="11"/>
      <c r="AW18" s="11">
        <v>0</v>
      </c>
      <c r="AX18" s="11"/>
      <c r="AY18" s="11">
        <v>774</v>
      </c>
      <c r="AZ18" s="11"/>
      <c r="BA18" s="1"/>
      <c r="BB18" s="4">
        <v>191</v>
      </c>
      <c r="BC18" s="4">
        <v>283</v>
      </c>
      <c r="BD18" s="4">
        <v>206</v>
      </c>
      <c r="BE18" s="4">
        <v>73</v>
      </c>
      <c r="BF18" s="4">
        <v>21</v>
      </c>
      <c r="BG18" s="4"/>
      <c r="BH18" s="4"/>
    </row>
    <row r="19" spans="1:60" ht="14.25" customHeight="1">
      <c r="A19" s="12" t="s">
        <v>21</v>
      </c>
      <c r="B19" s="12"/>
      <c r="C19" s="12"/>
      <c r="D19" s="12"/>
      <c r="E19" s="12"/>
      <c r="F19" s="12"/>
      <c r="G19" s="12"/>
      <c r="H19" s="12"/>
      <c r="I19" s="15" t="s">
        <v>22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1">
        <v>160</v>
      </c>
      <c r="U19" s="11"/>
      <c r="V19" s="11"/>
      <c r="W19" s="11"/>
      <c r="X19" s="11">
        <v>306</v>
      </c>
      <c r="Y19" s="11"/>
      <c r="Z19" s="11">
        <v>216</v>
      </c>
      <c r="AA19" s="11"/>
      <c r="AB19" s="11"/>
      <c r="AC19" s="11"/>
      <c r="AD19" s="11">
        <v>61</v>
      </c>
      <c r="AE19" s="11"/>
      <c r="AF19" s="11"/>
      <c r="AG19" s="11">
        <v>21</v>
      </c>
      <c r="AH19" s="11"/>
      <c r="AI19" s="11"/>
      <c r="AJ19" s="11">
        <v>0</v>
      </c>
      <c r="AK19" s="11"/>
      <c r="AL19" s="11"/>
      <c r="AM19" s="11">
        <v>0</v>
      </c>
      <c r="AN19" s="11"/>
      <c r="AO19" s="11">
        <v>0</v>
      </c>
      <c r="AP19" s="11"/>
      <c r="AQ19" s="11">
        <v>0</v>
      </c>
      <c r="AR19" s="11"/>
      <c r="AS19" s="11">
        <v>0</v>
      </c>
      <c r="AT19" s="11"/>
      <c r="AU19" s="11">
        <v>0</v>
      </c>
      <c r="AV19" s="11"/>
      <c r="AW19" s="11">
        <v>0</v>
      </c>
      <c r="AX19" s="11"/>
      <c r="AY19" s="11">
        <v>764</v>
      </c>
      <c r="AZ19" s="11"/>
      <c r="BA19" s="1"/>
      <c r="BB19" s="4">
        <v>160</v>
      </c>
      <c r="BC19" s="4">
        <v>306</v>
      </c>
      <c r="BD19" s="4">
        <v>216</v>
      </c>
      <c r="BE19" s="4">
        <v>61</v>
      </c>
      <c r="BF19" s="4">
        <v>21</v>
      </c>
      <c r="BG19" s="4"/>
      <c r="BH19" s="4"/>
    </row>
    <row r="20" spans="1:60" ht="14.25" customHeight="1">
      <c r="A20" s="10" t="s">
        <v>18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9">
        <v>351</v>
      </c>
      <c r="U20" s="9"/>
      <c r="V20" s="9"/>
      <c r="W20" s="9"/>
      <c r="X20" s="9">
        <v>589</v>
      </c>
      <c r="Y20" s="9"/>
      <c r="Z20" s="9">
        <v>422</v>
      </c>
      <c r="AA20" s="9"/>
      <c r="AB20" s="9"/>
      <c r="AC20" s="9"/>
      <c r="AD20" s="9">
        <v>134</v>
      </c>
      <c r="AE20" s="9"/>
      <c r="AF20" s="9"/>
      <c r="AG20" s="9">
        <v>42</v>
      </c>
      <c r="AH20" s="9"/>
      <c r="AI20" s="9"/>
      <c r="AJ20" s="9">
        <v>0</v>
      </c>
      <c r="AK20" s="9"/>
      <c r="AL20" s="9"/>
      <c r="AM20" s="9">
        <v>0</v>
      </c>
      <c r="AN20" s="9"/>
      <c r="AO20" s="9">
        <v>0</v>
      </c>
      <c r="AP20" s="9"/>
      <c r="AQ20" s="9">
        <v>0</v>
      </c>
      <c r="AR20" s="9"/>
      <c r="AS20" s="9">
        <v>0</v>
      </c>
      <c r="AT20" s="9"/>
      <c r="AU20" s="9">
        <v>0</v>
      </c>
      <c r="AV20" s="9"/>
      <c r="AW20" s="9">
        <v>0</v>
      </c>
      <c r="AX20" s="9"/>
      <c r="AY20" s="9">
        <v>1538</v>
      </c>
      <c r="AZ20" s="9"/>
      <c r="BA20" s="1"/>
    </row>
    <row r="21" spans="1:60" ht="8.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60" ht="14.25" customHeight="1">
      <c r="A22" s="10" t="s">
        <v>12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 t="s">
        <v>23</v>
      </c>
      <c r="N22" s="10"/>
      <c r="O22" s="10"/>
      <c r="P22" s="10" t="s">
        <v>24</v>
      </c>
      <c r="Q22" s="10"/>
      <c r="R22" s="10"/>
      <c r="S22" s="2" t="s">
        <v>25</v>
      </c>
      <c r="T22" s="10" t="s">
        <v>13</v>
      </c>
      <c r="U22" s="10"/>
      <c r="V22" s="10"/>
      <c r="W22" s="10"/>
      <c r="X22" s="10" t="s">
        <v>14</v>
      </c>
      <c r="Y22" s="10"/>
      <c r="Z22" s="10" t="s">
        <v>15</v>
      </c>
      <c r="AA22" s="10"/>
      <c r="AB22" s="10"/>
      <c r="AC22" s="10"/>
      <c r="AD22" s="10" t="s">
        <v>16</v>
      </c>
      <c r="AE22" s="10"/>
      <c r="AF22" s="10"/>
      <c r="AG22" s="10" t="s">
        <v>17</v>
      </c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 t="s">
        <v>18</v>
      </c>
      <c r="AZ22" s="10"/>
      <c r="BA22" s="1"/>
    </row>
    <row r="23" spans="1:60" ht="14.25" customHeight="1">
      <c r="A23" s="12" t="s">
        <v>19</v>
      </c>
      <c r="B23" s="12"/>
      <c r="C23" s="13" t="s">
        <v>20</v>
      </c>
      <c r="D23" s="13"/>
      <c r="E23" s="13"/>
      <c r="F23" s="13"/>
      <c r="G23" s="13"/>
      <c r="H23" s="13"/>
      <c r="I23" s="13"/>
      <c r="J23" s="13"/>
      <c r="K23" s="13"/>
      <c r="L23" s="13"/>
      <c r="M23" s="13" t="s">
        <v>26</v>
      </c>
      <c r="N23" s="13"/>
      <c r="O23" s="13"/>
      <c r="P23" s="14" t="s">
        <v>27</v>
      </c>
      <c r="Q23" s="14"/>
      <c r="R23" s="14"/>
      <c r="S23" s="13" t="s">
        <v>28</v>
      </c>
      <c r="T23" s="13"/>
      <c r="U23" s="11">
        <v>175</v>
      </c>
      <c r="V23" s="11"/>
      <c r="W23" s="11"/>
      <c r="X23" s="11"/>
      <c r="Y23" s="11">
        <v>263</v>
      </c>
      <c r="Z23" s="11"/>
      <c r="AA23" s="11">
        <v>186</v>
      </c>
      <c r="AB23" s="11"/>
      <c r="AC23" s="11"/>
      <c r="AD23" s="11"/>
      <c r="AE23" s="11">
        <v>56</v>
      </c>
      <c r="AF23" s="11"/>
      <c r="AG23" s="11"/>
      <c r="AH23" s="11">
        <v>20</v>
      </c>
      <c r="AI23" s="11"/>
      <c r="AJ23" s="11"/>
      <c r="AK23" s="11">
        <v>0</v>
      </c>
      <c r="AL23" s="11"/>
      <c r="AM23" s="11"/>
      <c r="AN23" s="11">
        <v>0</v>
      </c>
      <c r="AO23" s="11"/>
      <c r="AP23" s="11">
        <v>0</v>
      </c>
      <c r="AQ23" s="11"/>
      <c r="AR23" s="11">
        <v>0</v>
      </c>
      <c r="AS23" s="11"/>
      <c r="AT23" s="11">
        <v>0</v>
      </c>
      <c r="AU23" s="11"/>
      <c r="AV23" s="11">
        <v>0</v>
      </c>
      <c r="AW23" s="11"/>
      <c r="AX23" s="11">
        <v>0</v>
      </c>
      <c r="AY23" s="11"/>
      <c r="AZ23" s="11">
        <v>700</v>
      </c>
      <c r="BA23" s="11"/>
      <c r="BB23" s="4">
        <v>175</v>
      </c>
      <c r="BC23" s="4">
        <v>263</v>
      </c>
      <c r="BD23" s="4">
        <v>186</v>
      </c>
      <c r="BE23" s="4">
        <v>56</v>
      </c>
      <c r="BF23" s="4">
        <v>20</v>
      </c>
      <c r="BG23" s="4"/>
      <c r="BH23" s="4"/>
    </row>
    <row r="24" spans="1:60" ht="22.2" customHeight="1">
      <c r="A24" s="12"/>
      <c r="B24" s="12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 t="s">
        <v>29</v>
      </c>
      <c r="N24" s="13"/>
      <c r="O24" s="13"/>
      <c r="P24" s="14" t="str">
        <f>+VLOOKUP(M24,'[1]update SBD'!$H$14:$I$18,2,0)</f>
        <v>INDIA</v>
      </c>
      <c r="Q24" s="14"/>
      <c r="R24" s="14"/>
      <c r="S24" s="13" t="s">
        <v>28</v>
      </c>
      <c r="T24" s="13"/>
      <c r="U24" s="11">
        <v>0</v>
      </c>
      <c r="V24" s="11"/>
      <c r="W24" s="11"/>
      <c r="X24" s="11"/>
      <c r="Y24" s="11">
        <v>1</v>
      </c>
      <c r="Z24" s="11"/>
      <c r="AA24" s="11">
        <v>1</v>
      </c>
      <c r="AB24" s="11"/>
      <c r="AC24" s="11"/>
      <c r="AD24" s="11"/>
      <c r="AE24" s="11">
        <v>1</v>
      </c>
      <c r="AF24" s="11"/>
      <c r="AG24" s="11"/>
      <c r="AH24" s="11">
        <v>1</v>
      </c>
      <c r="AI24" s="11"/>
      <c r="AJ24" s="11"/>
      <c r="AK24" s="11">
        <v>0</v>
      </c>
      <c r="AL24" s="11"/>
      <c r="AM24" s="11"/>
      <c r="AN24" s="11">
        <v>0</v>
      </c>
      <c r="AO24" s="11"/>
      <c r="AP24" s="11">
        <v>0</v>
      </c>
      <c r="AQ24" s="11"/>
      <c r="AR24" s="11">
        <v>0</v>
      </c>
      <c r="AS24" s="11"/>
      <c r="AT24" s="11">
        <v>0</v>
      </c>
      <c r="AU24" s="11"/>
      <c r="AV24" s="11">
        <v>0</v>
      </c>
      <c r="AW24" s="11"/>
      <c r="AX24" s="11">
        <v>0</v>
      </c>
      <c r="AY24" s="11"/>
      <c r="AZ24" s="11">
        <v>4</v>
      </c>
      <c r="BA24" s="11"/>
      <c r="BB24" s="4">
        <v>0</v>
      </c>
      <c r="BC24" s="4">
        <v>1</v>
      </c>
      <c r="BD24" s="4">
        <v>1</v>
      </c>
      <c r="BE24" s="4">
        <v>1</v>
      </c>
      <c r="BF24" s="4">
        <v>1</v>
      </c>
      <c r="BG24" s="4"/>
      <c r="BH24" s="4"/>
    </row>
    <row r="25" spans="1:60" ht="21.9" customHeight="1">
      <c r="A25" s="12"/>
      <c r="B25" s="12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 t="s">
        <v>30</v>
      </c>
      <c r="N25" s="13"/>
      <c r="O25" s="13"/>
      <c r="P25" s="14" t="str">
        <f>+VLOOKUP(M25,'[1]update SBD'!$H$14:$I$18,2,0)</f>
        <v>TAIWAN</v>
      </c>
      <c r="Q25" s="14"/>
      <c r="R25" s="14"/>
      <c r="S25" s="13" t="s">
        <v>28</v>
      </c>
      <c r="T25" s="13"/>
      <c r="U25" s="11">
        <v>16</v>
      </c>
      <c r="V25" s="11"/>
      <c r="W25" s="11"/>
      <c r="X25" s="11"/>
      <c r="Y25" s="11">
        <v>19</v>
      </c>
      <c r="Z25" s="11"/>
      <c r="AA25" s="11">
        <v>19</v>
      </c>
      <c r="AB25" s="11"/>
      <c r="AC25" s="11"/>
      <c r="AD25" s="11"/>
      <c r="AE25" s="11">
        <v>16</v>
      </c>
      <c r="AF25" s="11"/>
      <c r="AG25" s="11"/>
      <c r="AH25" s="11">
        <v>0</v>
      </c>
      <c r="AI25" s="11"/>
      <c r="AJ25" s="11"/>
      <c r="AK25" s="11">
        <v>0</v>
      </c>
      <c r="AL25" s="11"/>
      <c r="AM25" s="11"/>
      <c r="AN25" s="11">
        <v>0</v>
      </c>
      <c r="AO25" s="11"/>
      <c r="AP25" s="11">
        <v>0</v>
      </c>
      <c r="AQ25" s="11"/>
      <c r="AR25" s="11">
        <v>0</v>
      </c>
      <c r="AS25" s="11"/>
      <c r="AT25" s="11">
        <v>0</v>
      </c>
      <c r="AU25" s="11"/>
      <c r="AV25" s="11">
        <v>0</v>
      </c>
      <c r="AW25" s="11"/>
      <c r="AX25" s="11">
        <v>0</v>
      </c>
      <c r="AY25" s="11"/>
      <c r="AZ25" s="11">
        <v>70</v>
      </c>
      <c r="BA25" s="11"/>
      <c r="BB25" s="4">
        <v>16</v>
      </c>
      <c r="BC25" s="4">
        <v>19</v>
      </c>
      <c r="BD25" s="4">
        <v>19</v>
      </c>
      <c r="BE25" s="4">
        <v>16</v>
      </c>
      <c r="BF25" s="4">
        <v>0</v>
      </c>
      <c r="BG25" s="4"/>
      <c r="BH25" s="4"/>
    </row>
    <row r="26" spans="1:60" ht="15" customHeight="1">
      <c r="A26" s="10" t="s">
        <v>31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9">
        <v>191</v>
      </c>
      <c r="V26" s="9"/>
      <c r="W26" s="9"/>
      <c r="X26" s="9"/>
      <c r="Y26" s="9">
        <v>283</v>
      </c>
      <c r="Z26" s="9"/>
      <c r="AA26" s="9">
        <v>206</v>
      </c>
      <c r="AB26" s="9"/>
      <c r="AC26" s="9"/>
      <c r="AD26" s="9"/>
      <c r="AE26" s="9">
        <v>73</v>
      </c>
      <c r="AF26" s="9"/>
      <c r="AG26" s="9"/>
      <c r="AH26" s="9">
        <v>21</v>
      </c>
      <c r="AI26" s="9"/>
      <c r="AJ26" s="9"/>
      <c r="AK26" s="9">
        <v>0</v>
      </c>
      <c r="AL26" s="9"/>
      <c r="AM26" s="9"/>
      <c r="AN26" s="9">
        <v>0</v>
      </c>
      <c r="AO26" s="9"/>
      <c r="AP26" s="9">
        <v>0</v>
      </c>
      <c r="AQ26" s="9"/>
      <c r="AR26" s="9">
        <v>0</v>
      </c>
      <c r="AS26" s="9"/>
      <c r="AT26" s="9">
        <v>0</v>
      </c>
      <c r="AU26" s="9"/>
      <c r="AV26" s="9">
        <v>0</v>
      </c>
      <c r="AW26" s="9"/>
      <c r="AX26" s="9">
        <v>0</v>
      </c>
      <c r="AY26" s="9"/>
      <c r="AZ26" s="9">
        <v>774</v>
      </c>
      <c r="BA26" s="9"/>
    </row>
    <row r="27" spans="1:60" ht="14.25" customHeight="1">
      <c r="A27" s="12" t="s">
        <v>21</v>
      </c>
      <c r="B27" s="12"/>
      <c r="C27" s="13" t="s">
        <v>22</v>
      </c>
      <c r="D27" s="13"/>
      <c r="E27" s="13"/>
      <c r="F27" s="13"/>
      <c r="G27" s="13"/>
      <c r="H27" s="13"/>
      <c r="I27" s="13"/>
      <c r="J27" s="13"/>
      <c r="K27" s="13"/>
      <c r="L27" s="13"/>
      <c r="M27" s="13" t="s">
        <v>26</v>
      </c>
      <c r="N27" s="13"/>
      <c r="O27" s="13"/>
      <c r="P27" s="14" t="s">
        <v>27</v>
      </c>
      <c r="Q27" s="14"/>
      <c r="R27" s="14"/>
      <c r="S27" s="13" t="s">
        <v>28</v>
      </c>
      <c r="T27" s="13"/>
      <c r="U27" s="11">
        <v>145</v>
      </c>
      <c r="V27" s="11"/>
      <c r="W27" s="11"/>
      <c r="X27" s="11"/>
      <c r="Y27" s="11">
        <v>290</v>
      </c>
      <c r="Z27" s="11"/>
      <c r="AA27" s="11">
        <v>200</v>
      </c>
      <c r="AB27" s="11"/>
      <c r="AC27" s="11"/>
      <c r="AD27" s="11"/>
      <c r="AE27" s="11">
        <v>45</v>
      </c>
      <c r="AF27" s="11"/>
      <c r="AG27" s="11"/>
      <c r="AH27" s="11">
        <v>20</v>
      </c>
      <c r="AI27" s="11"/>
      <c r="AJ27" s="11"/>
      <c r="AK27" s="11">
        <v>0</v>
      </c>
      <c r="AL27" s="11"/>
      <c r="AM27" s="11"/>
      <c r="AN27" s="11">
        <v>0</v>
      </c>
      <c r="AO27" s="11"/>
      <c r="AP27" s="11">
        <v>0</v>
      </c>
      <c r="AQ27" s="11"/>
      <c r="AR27" s="11">
        <v>0</v>
      </c>
      <c r="AS27" s="11"/>
      <c r="AT27" s="11">
        <v>0</v>
      </c>
      <c r="AU27" s="11"/>
      <c r="AV27" s="11">
        <v>0</v>
      </c>
      <c r="AW27" s="11"/>
      <c r="AX27" s="11">
        <v>0</v>
      </c>
      <c r="AY27" s="11"/>
      <c r="AZ27" s="11">
        <v>700</v>
      </c>
      <c r="BA27" s="11"/>
      <c r="BB27" s="4">
        <v>145</v>
      </c>
      <c r="BC27" s="4">
        <v>290</v>
      </c>
      <c r="BD27" s="4">
        <v>200</v>
      </c>
      <c r="BE27" s="4">
        <v>45</v>
      </c>
      <c r="BF27" s="4">
        <v>20</v>
      </c>
      <c r="BG27" s="4"/>
      <c r="BH27" s="4"/>
    </row>
    <row r="28" spans="1:60" ht="21.9" customHeight="1">
      <c r="A28" s="12"/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 t="s">
        <v>29</v>
      </c>
      <c r="N28" s="13"/>
      <c r="O28" s="13"/>
      <c r="P28" s="14" t="str">
        <f>+VLOOKUP(M28,'[1]update SBD'!$H$14:$I$18,2,0)</f>
        <v>INDIA</v>
      </c>
      <c r="Q28" s="14"/>
      <c r="R28" s="14"/>
      <c r="S28" s="13" t="s">
        <v>28</v>
      </c>
      <c r="T28" s="13"/>
      <c r="U28" s="11">
        <v>0</v>
      </c>
      <c r="V28" s="11"/>
      <c r="W28" s="11"/>
      <c r="X28" s="11"/>
      <c r="Y28" s="11">
        <v>1</v>
      </c>
      <c r="Z28" s="11"/>
      <c r="AA28" s="11">
        <v>1</v>
      </c>
      <c r="AB28" s="11"/>
      <c r="AC28" s="11"/>
      <c r="AD28" s="11"/>
      <c r="AE28" s="11">
        <v>1</v>
      </c>
      <c r="AF28" s="11"/>
      <c r="AG28" s="11"/>
      <c r="AH28" s="11">
        <v>1</v>
      </c>
      <c r="AI28" s="11"/>
      <c r="AJ28" s="11"/>
      <c r="AK28" s="11">
        <v>0</v>
      </c>
      <c r="AL28" s="11"/>
      <c r="AM28" s="11"/>
      <c r="AN28" s="11">
        <v>0</v>
      </c>
      <c r="AO28" s="11"/>
      <c r="AP28" s="11">
        <v>0</v>
      </c>
      <c r="AQ28" s="11"/>
      <c r="AR28" s="11">
        <v>0</v>
      </c>
      <c r="AS28" s="11"/>
      <c r="AT28" s="11">
        <v>0</v>
      </c>
      <c r="AU28" s="11"/>
      <c r="AV28" s="11">
        <v>0</v>
      </c>
      <c r="AW28" s="11"/>
      <c r="AX28" s="11">
        <v>0</v>
      </c>
      <c r="AY28" s="11"/>
      <c r="AZ28" s="11">
        <v>4</v>
      </c>
      <c r="BA28" s="11"/>
      <c r="BB28" s="4">
        <v>0</v>
      </c>
      <c r="BC28" s="4">
        <v>1</v>
      </c>
      <c r="BD28" s="4">
        <v>1</v>
      </c>
      <c r="BE28" s="4">
        <v>1</v>
      </c>
      <c r="BF28" s="4">
        <v>1</v>
      </c>
      <c r="BG28" s="4"/>
      <c r="BH28" s="4"/>
    </row>
    <row r="29" spans="1:60" ht="22.2" customHeight="1">
      <c r="A29" s="12"/>
      <c r="B29" s="12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 t="s">
        <v>30</v>
      </c>
      <c r="N29" s="13"/>
      <c r="O29" s="13"/>
      <c r="P29" s="14" t="str">
        <f>+VLOOKUP(M29,'[1]update SBD'!$H$14:$I$18,2,0)</f>
        <v>TAIWAN</v>
      </c>
      <c r="Q29" s="14"/>
      <c r="R29" s="14"/>
      <c r="S29" s="13" t="s">
        <v>28</v>
      </c>
      <c r="T29" s="13"/>
      <c r="U29" s="11">
        <v>15</v>
      </c>
      <c r="V29" s="11"/>
      <c r="W29" s="11"/>
      <c r="X29" s="11"/>
      <c r="Y29" s="11">
        <v>15</v>
      </c>
      <c r="Z29" s="11"/>
      <c r="AA29" s="11">
        <v>15</v>
      </c>
      <c r="AB29" s="11"/>
      <c r="AC29" s="11"/>
      <c r="AD29" s="11"/>
      <c r="AE29" s="11">
        <v>15</v>
      </c>
      <c r="AF29" s="11"/>
      <c r="AG29" s="11"/>
      <c r="AH29" s="11">
        <v>0</v>
      </c>
      <c r="AI29" s="11"/>
      <c r="AJ29" s="11"/>
      <c r="AK29" s="11">
        <v>0</v>
      </c>
      <c r="AL29" s="11"/>
      <c r="AM29" s="11"/>
      <c r="AN29" s="11">
        <v>0</v>
      </c>
      <c r="AO29" s="11"/>
      <c r="AP29" s="11">
        <v>0</v>
      </c>
      <c r="AQ29" s="11"/>
      <c r="AR29" s="11">
        <v>0</v>
      </c>
      <c r="AS29" s="11"/>
      <c r="AT29" s="11">
        <v>0</v>
      </c>
      <c r="AU29" s="11"/>
      <c r="AV29" s="11">
        <v>0</v>
      </c>
      <c r="AW29" s="11"/>
      <c r="AX29" s="11">
        <v>0</v>
      </c>
      <c r="AY29" s="11"/>
      <c r="AZ29" s="11">
        <v>60</v>
      </c>
      <c r="BA29" s="11"/>
      <c r="BB29" s="4">
        <v>15</v>
      </c>
      <c r="BC29" s="4">
        <v>15</v>
      </c>
      <c r="BD29" s="4">
        <v>15</v>
      </c>
      <c r="BE29" s="4">
        <v>15</v>
      </c>
      <c r="BF29" s="4">
        <v>0</v>
      </c>
      <c r="BG29" s="4"/>
      <c r="BH29" s="4"/>
    </row>
    <row r="30" spans="1:60" ht="15" customHeight="1">
      <c r="A30" s="10" t="s">
        <v>31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9">
        <v>160</v>
      </c>
      <c r="V30" s="9"/>
      <c r="W30" s="9"/>
      <c r="X30" s="9"/>
      <c r="Y30" s="9">
        <v>306</v>
      </c>
      <c r="Z30" s="9"/>
      <c r="AA30" s="9">
        <v>216</v>
      </c>
      <c r="AB30" s="9"/>
      <c r="AC30" s="9"/>
      <c r="AD30" s="9"/>
      <c r="AE30" s="9">
        <v>61</v>
      </c>
      <c r="AF30" s="9"/>
      <c r="AG30" s="9"/>
      <c r="AH30" s="9">
        <v>21</v>
      </c>
      <c r="AI30" s="9"/>
      <c r="AJ30" s="9"/>
      <c r="AK30" s="9">
        <v>0</v>
      </c>
      <c r="AL30" s="9"/>
      <c r="AM30" s="9"/>
      <c r="AN30" s="9">
        <v>0</v>
      </c>
      <c r="AO30" s="9"/>
      <c r="AP30" s="9">
        <v>0</v>
      </c>
      <c r="AQ30" s="9"/>
      <c r="AR30" s="9">
        <v>0</v>
      </c>
      <c r="AS30" s="9"/>
      <c r="AT30" s="9">
        <v>0</v>
      </c>
      <c r="AU30" s="9"/>
      <c r="AV30" s="9">
        <v>0</v>
      </c>
      <c r="AW30" s="9"/>
      <c r="AX30" s="9">
        <v>0</v>
      </c>
      <c r="AY30" s="9"/>
      <c r="AZ30" s="9">
        <v>764</v>
      </c>
      <c r="BA30" s="9"/>
    </row>
    <row r="31" spans="1:60" ht="14.25" customHeight="1">
      <c r="A31" s="10" t="s">
        <v>32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9">
        <v>351</v>
      </c>
      <c r="V31" s="9"/>
      <c r="W31" s="9"/>
      <c r="X31" s="9"/>
      <c r="Y31" s="9">
        <v>589</v>
      </c>
      <c r="Z31" s="9"/>
      <c r="AA31" s="9">
        <v>422</v>
      </c>
      <c r="AB31" s="9"/>
      <c r="AC31" s="9"/>
      <c r="AD31" s="9"/>
      <c r="AE31" s="9">
        <v>134</v>
      </c>
      <c r="AF31" s="9"/>
      <c r="AG31" s="9"/>
      <c r="AH31" s="9">
        <v>42</v>
      </c>
      <c r="AI31" s="9"/>
      <c r="AJ31" s="9"/>
      <c r="AK31" s="9">
        <v>0</v>
      </c>
      <c r="AL31" s="9"/>
      <c r="AM31" s="9"/>
      <c r="AN31" s="9">
        <v>0</v>
      </c>
      <c r="AO31" s="9"/>
      <c r="AP31" s="9">
        <v>0</v>
      </c>
      <c r="AQ31" s="9"/>
      <c r="AR31" s="9">
        <v>0</v>
      </c>
      <c r="AS31" s="9"/>
      <c r="AT31" s="9">
        <v>0</v>
      </c>
      <c r="AU31" s="9"/>
      <c r="AV31" s="9">
        <v>0</v>
      </c>
      <c r="AW31" s="9"/>
      <c r="AX31" s="9">
        <v>0</v>
      </c>
      <c r="AY31" s="9"/>
      <c r="AZ31" s="9">
        <v>1538</v>
      </c>
      <c r="BA31" s="9"/>
    </row>
    <row r="32" spans="1:60" ht="2.85" customHeight="1"/>
    <row r="33" spans="1:31" ht="12" customHeight="1">
      <c r="A33" s="8" t="s">
        <v>33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</row>
  </sheetData>
  <mergeCells count="230">
    <mergeCell ref="V2:AK2"/>
    <mergeCell ref="B5:F5"/>
    <mergeCell ref="G5:Q5"/>
    <mergeCell ref="W5:AB5"/>
    <mergeCell ref="AC5:AH5"/>
    <mergeCell ref="B7:H7"/>
    <mergeCell ref="I7:K7"/>
    <mergeCell ref="L7:M7"/>
    <mergeCell ref="E8:N9"/>
    <mergeCell ref="B9:D10"/>
    <mergeCell ref="B12:J12"/>
    <mergeCell ref="K12:P12"/>
    <mergeCell ref="B15:O15"/>
    <mergeCell ref="A17:S17"/>
    <mergeCell ref="T17:W17"/>
    <mergeCell ref="X17:Y17"/>
    <mergeCell ref="Z17:AC17"/>
    <mergeCell ref="AD17:AF17"/>
    <mergeCell ref="AG17:AI17"/>
    <mergeCell ref="AS17:AT17"/>
    <mergeCell ref="AU17:AV17"/>
    <mergeCell ref="AW17:AX17"/>
    <mergeCell ref="AY17:AZ17"/>
    <mergeCell ref="A18:H18"/>
    <mergeCell ref="I18:S18"/>
    <mergeCell ref="T18:W18"/>
    <mergeCell ref="X18:Y18"/>
    <mergeCell ref="Z18:AC18"/>
    <mergeCell ref="AD18:AF18"/>
    <mergeCell ref="AG18:AI18"/>
    <mergeCell ref="AJ18:AL18"/>
    <mergeCell ref="AM18:AN18"/>
    <mergeCell ref="AO18:AP18"/>
    <mergeCell ref="AQ18:AR18"/>
    <mergeCell ref="AS18:AT18"/>
    <mergeCell ref="AU18:AV18"/>
    <mergeCell ref="AW18:AX18"/>
    <mergeCell ref="AY18:AZ18"/>
    <mergeCell ref="AG19:AI19"/>
    <mergeCell ref="AJ19:AL19"/>
    <mergeCell ref="AM19:AN19"/>
    <mergeCell ref="AJ17:AL17"/>
    <mergeCell ref="AM17:AN17"/>
    <mergeCell ref="AO17:AP17"/>
    <mergeCell ref="AQ17:AR17"/>
    <mergeCell ref="AO19:AP19"/>
    <mergeCell ref="AQ19:AR19"/>
    <mergeCell ref="AS19:AT19"/>
    <mergeCell ref="AU19:AV19"/>
    <mergeCell ref="AW19:AX19"/>
    <mergeCell ref="AY19:AZ19"/>
    <mergeCell ref="A20:S20"/>
    <mergeCell ref="T20:W20"/>
    <mergeCell ref="X20:Y20"/>
    <mergeCell ref="Z20:AC20"/>
    <mergeCell ref="AD20:AF20"/>
    <mergeCell ref="AG20:AI20"/>
    <mergeCell ref="AJ20:AL20"/>
    <mergeCell ref="AM20:AN20"/>
    <mergeCell ref="AO20:AP20"/>
    <mergeCell ref="AQ20:AR20"/>
    <mergeCell ref="AS20:AT20"/>
    <mergeCell ref="AU20:AV20"/>
    <mergeCell ref="AW20:AX20"/>
    <mergeCell ref="AY20:AZ20"/>
    <mergeCell ref="A19:H19"/>
    <mergeCell ref="I19:S19"/>
    <mergeCell ref="T19:W19"/>
    <mergeCell ref="X19:Y19"/>
    <mergeCell ref="Z19:AC19"/>
    <mergeCell ref="AD19:AF19"/>
    <mergeCell ref="A22:L22"/>
    <mergeCell ref="M22:O22"/>
    <mergeCell ref="P22:R22"/>
    <mergeCell ref="T22:W22"/>
    <mergeCell ref="X22:Y22"/>
    <mergeCell ref="Z22:AC22"/>
    <mergeCell ref="AD22:AF22"/>
    <mergeCell ref="AG22:AI22"/>
    <mergeCell ref="AJ22:AL22"/>
    <mergeCell ref="AM22:AN22"/>
    <mergeCell ref="AO22:AP22"/>
    <mergeCell ref="AQ22:AR22"/>
    <mergeCell ref="AS22:AT22"/>
    <mergeCell ref="AU22:AV22"/>
    <mergeCell ref="AW22:AX22"/>
    <mergeCell ref="AY22:AZ22"/>
    <mergeCell ref="M23:O23"/>
    <mergeCell ref="P23:R23"/>
    <mergeCell ref="S23:T23"/>
    <mergeCell ref="U23:X23"/>
    <mergeCell ref="Y23:Z23"/>
    <mergeCell ref="AA23:AD23"/>
    <mergeCell ref="AE23:AG23"/>
    <mergeCell ref="AH23:AJ23"/>
    <mergeCell ref="AK23:AM23"/>
    <mergeCell ref="AN23:AO23"/>
    <mergeCell ref="AP23:AQ23"/>
    <mergeCell ref="AR23:AS23"/>
    <mergeCell ref="AT23:AU23"/>
    <mergeCell ref="AV23:AW23"/>
    <mergeCell ref="AX23:AY23"/>
    <mergeCell ref="AZ23:BA23"/>
    <mergeCell ref="M24:O24"/>
    <mergeCell ref="P24:R24"/>
    <mergeCell ref="S24:T24"/>
    <mergeCell ref="U24:X24"/>
    <mergeCell ref="Y24:Z24"/>
    <mergeCell ref="AA24:AD24"/>
    <mergeCell ref="AE24:AG24"/>
    <mergeCell ref="AH24:AJ24"/>
    <mergeCell ref="AK24:AM24"/>
    <mergeCell ref="AN24:AO24"/>
    <mergeCell ref="AP24:AQ24"/>
    <mergeCell ref="AR24:AS24"/>
    <mergeCell ref="AT24:AU24"/>
    <mergeCell ref="AV24:AW24"/>
    <mergeCell ref="AX24:AY24"/>
    <mergeCell ref="AZ24:BA24"/>
    <mergeCell ref="A23:B25"/>
    <mergeCell ref="C23:L25"/>
    <mergeCell ref="M25:O25"/>
    <mergeCell ref="P25:R25"/>
    <mergeCell ref="S25:T25"/>
    <mergeCell ref="U25:X25"/>
    <mergeCell ref="Y25:Z25"/>
    <mergeCell ref="AA25:AD25"/>
    <mergeCell ref="AE25:AG25"/>
    <mergeCell ref="AH25:AJ25"/>
    <mergeCell ref="AK25:AM25"/>
    <mergeCell ref="AN25:AO25"/>
    <mergeCell ref="AP25:AQ25"/>
    <mergeCell ref="AR25:AS25"/>
    <mergeCell ref="AT25:AU25"/>
    <mergeCell ref="AV25:AW25"/>
    <mergeCell ref="AX25:AY25"/>
    <mergeCell ref="AZ25:BA25"/>
    <mergeCell ref="A26:T26"/>
    <mergeCell ref="U26:X26"/>
    <mergeCell ref="Y26:Z26"/>
    <mergeCell ref="AA26:AD26"/>
    <mergeCell ref="AE26:AG26"/>
    <mergeCell ref="AH26:AJ26"/>
    <mergeCell ref="AK26:AM26"/>
    <mergeCell ref="AN26:AO26"/>
    <mergeCell ref="AP26:AQ26"/>
    <mergeCell ref="AR26:AS26"/>
    <mergeCell ref="AT26:AU26"/>
    <mergeCell ref="AV26:AW26"/>
    <mergeCell ref="AX26:AY26"/>
    <mergeCell ref="AZ26:BA26"/>
    <mergeCell ref="AT28:AU28"/>
    <mergeCell ref="AV28:AW28"/>
    <mergeCell ref="AX28:AY28"/>
    <mergeCell ref="AZ28:BA28"/>
    <mergeCell ref="M27:O27"/>
    <mergeCell ref="P27:R27"/>
    <mergeCell ref="S27:T27"/>
    <mergeCell ref="U27:X27"/>
    <mergeCell ref="Y27:Z27"/>
    <mergeCell ref="AA27:AD27"/>
    <mergeCell ref="AE27:AG27"/>
    <mergeCell ref="AH27:AJ27"/>
    <mergeCell ref="AK27:AM27"/>
    <mergeCell ref="U28:X28"/>
    <mergeCell ref="Y28:Z28"/>
    <mergeCell ref="AA28:AD28"/>
    <mergeCell ref="AE28:AG28"/>
    <mergeCell ref="AH28:AJ28"/>
    <mergeCell ref="AK28:AM28"/>
    <mergeCell ref="AN28:AO28"/>
    <mergeCell ref="AP28:AQ28"/>
    <mergeCell ref="AR28:AS28"/>
    <mergeCell ref="AR29:AS29"/>
    <mergeCell ref="AT29:AU29"/>
    <mergeCell ref="AV29:AW29"/>
    <mergeCell ref="AX29:AY29"/>
    <mergeCell ref="AZ29:BA29"/>
    <mergeCell ref="A27:B29"/>
    <mergeCell ref="C27:L29"/>
    <mergeCell ref="M29:O29"/>
    <mergeCell ref="P29:R29"/>
    <mergeCell ref="S29:T29"/>
    <mergeCell ref="U29:X29"/>
    <mergeCell ref="Y29:Z29"/>
    <mergeCell ref="AA29:AD29"/>
    <mergeCell ref="AE29:AG29"/>
    <mergeCell ref="AN27:AO27"/>
    <mergeCell ref="AP27:AQ27"/>
    <mergeCell ref="AR27:AS27"/>
    <mergeCell ref="AT27:AU27"/>
    <mergeCell ref="AV27:AW27"/>
    <mergeCell ref="AX27:AY27"/>
    <mergeCell ref="AZ27:BA27"/>
    <mergeCell ref="M28:O28"/>
    <mergeCell ref="P28:R28"/>
    <mergeCell ref="S28:T28"/>
    <mergeCell ref="AE30:AG30"/>
    <mergeCell ref="AH30:AJ30"/>
    <mergeCell ref="AK30:AM30"/>
    <mergeCell ref="AN30:AO30"/>
    <mergeCell ref="AP30:AQ30"/>
    <mergeCell ref="AH29:AJ29"/>
    <mergeCell ref="AK29:AM29"/>
    <mergeCell ref="AN29:AO29"/>
    <mergeCell ref="AP29:AQ29"/>
    <mergeCell ref="A33:AE33"/>
    <mergeCell ref="AR30:AS30"/>
    <mergeCell ref="AT30:AU30"/>
    <mergeCell ref="AV30:AW30"/>
    <mergeCell ref="AX30:AY30"/>
    <mergeCell ref="AZ30:BA30"/>
    <mergeCell ref="A31:T31"/>
    <mergeCell ref="U31:X31"/>
    <mergeCell ref="Y31:Z31"/>
    <mergeCell ref="AA31:AD31"/>
    <mergeCell ref="AE31:AG31"/>
    <mergeCell ref="AH31:AJ31"/>
    <mergeCell ref="AK31:AM31"/>
    <mergeCell ref="AN31:AO31"/>
    <mergeCell ref="AP31:AQ31"/>
    <mergeCell ref="AR31:AS31"/>
    <mergeCell ref="AT31:AU31"/>
    <mergeCell ref="AV31:AW31"/>
    <mergeCell ref="AX31:AY31"/>
    <mergeCell ref="AZ31:BA31"/>
    <mergeCell ref="A30:T30"/>
    <mergeCell ref="U30:X30"/>
    <mergeCell ref="Y30:Z30"/>
    <mergeCell ref="AA30:AD30"/>
  </mergeCells>
  <pageMargins left="0" right="0" top="0" bottom="0" header="0" footer="0"/>
  <pageSetup paperSize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BBC0D-3E05-4D2C-B5E4-762D69CA7C16}">
  <dimension ref="A1:J8"/>
  <sheetViews>
    <sheetView workbookViewId="0">
      <selection activeCell="C16" sqref="C16"/>
    </sheetView>
  </sheetViews>
  <sheetFormatPr defaultRowHeight="13.2"/>
  <cols>
    <col min="1" max="1" width="13.88671875" bestFit="1" customWidth="1"/>
    <col min="2" max="2" width="11.109375" bestFit="1" customWidth="1"/>
    <col min="3" max="3" width="33.44140625" bestFit="1" customWidth="1"/>
    <col min="4" max="4" width="21.5546875" bestFit="1" customWidth="1"/>
    <col min="5" max="5" width="4.33203125" bestFit="1" customWidth="1"/>
    <col min="6" max="6" width="4.5546875" bestFit="1" customWidth="1"/>
    <col min="7" max="7" width="4.109375" bestFit="1" customWidth="1"/>
    <col min="8" max="8" width="4.44140625" bestFit="1" customWidth="1"/>
    <col min="9" max="9" width="4.6640625" bestFit="1" customWidth="1"/>
    <col min="10" max="10" width="5.5546875" bestFit="1" customWidth="1"/>
  </cols>
  <sheetData>
    <row r="1" spans="1:10">
      <c r="A1" s="6" t="s">
        <v>39</v>
      </c>
      <c r="B1" s="6" t="s">
        <v>36</v>
      </c>
      <c r="C1" s="6" t="s">
        <v>23</v>
      </c>
      <c r="D1" s="6" t="s">
        <v>34</v>
      </c>
      <c r="E1" s="6" t="s">
        <v>13</v>
      </c>
      <c r="F1" s="6" t="s">
        <v>14</v>
      </c>
      <c r="G1" s="6" t="s">
        <v>15</v>
      </c>
      <c r="H1" s="6" t="s">
        <v>16</v>
      </c>
      <c r="I1" s="6" t="s">
        <v>17</v>
      </c>
      <c r="J1" s="6" t="s">
        <v>43</v>
      </c>
    </row>
    <row r="2" spans="1:10">
      <c r="A2" t="s">
        <v>40</v>
      </c>
      <c r="B2" t="s">
        <v>27</v>
      </c>
      <c r="C2" t="s">
        <v>26</v>
      </c>
      <c r="D2" t="s">
        <v>41</v>
      </c>
      <c r="E2">
        <v>175</v>
      </c>
      <c r="F2">
        <v>263</v>
      </c>
      <c r="G2">
        <v>186</v>
      </c>
      <c r="H2">
        <v>56</v>
      </c>
      <c r="I2">
        <v>20</v>
      </c>
      <c r="J2">
        <f t="shared" ref="J2:J7" si="0">SUM(E2:I2)</f>
        <v>700</v>
      </c>
    </row>
    <row r="3" spans="1:10">
      <c r="A3" t="s">
        <v>40</v>
      </c>
      <c r="B3" t="s">
        <v>37</v>
      </c>
      <c r="C3" t="s">
        <v>29</v>
      </c>
      <c r="D3" t="s">
        <v>41</v>
      </c>
      <c r="E3">
        <v>0</v>
      </c>
      <c r="F3">
        <v>1</v>
      </c>
      <c r="G3">
        <v>1</v>
      </c>
      <c r="H3">
        <v>1</v>
      </c>
      <c r="I3">
        <v>1</v>
      </c>
      <c r="J3">
        <f t="shared" si="0"/>
        <v>4</v>
      </c>
    </row>
    <row r="4" spans="1:10">
      <c r="A4" t="s">
        <v>40</v>
      </c>
      <c r="B4" t="s">
        <v>38</v>
      </c>
      <c r="C4" t="s">
        <v>30</v>
      </c>
      <c r="D4" t="s">
        <v>41</v>
      </c>
      <c r="E4">
        <v>16</v>
      </c>
      <c r="F4">
        <v>19</v>
      </c>
      <c r="G4">
        <v>19</v>
      </c>
      <c r="H4">
        <v>16</v>
      </c>
      <c r="I4">
        <v>0</v>
      </c>
      <c r="J4">
        <f t="shared" si="0"/>
        <v>70</v>
      </c>
    </row>
    <row r="5" spans="1:10">
      <c r="A5" t="s">
        <v>40</v>
      </c>
      <c r="B5" t="s">
        <v>27</v>
      </c>
      <c r="C5" t="s">
        <v>26</v>
      </c>
      <c r="D5" t="s">
        <v>42</v>
      </c>
      <c r="E5">
        <v>145</v>
      </c>
      <c r="F5">
        <v>290</v>
      </c>
      <c r="G5">
        <v>200</v>
      </c>
      <c r="H5">
        <v>45</v>
      </c>
      <c r="I5">
        <v>20</v>
      </c>
      <c r="J5">
        <f t="shared" si="0"/>
        <v>700</v>
      </c>
    </row>
    <row r="6" spans="1:10">
      <c r="A6" t="s">
        <v>40</v>
      </c>
      <c r="B6" t="s">
        <v>37</v>
      </c>
      <c r="C6" t="s">
        <v>29</v>
      </c>
      <c r="D6" t="s">
        <v>42</v>
      </c>
      <c r="E6">
        <v>0</v>
      </c>
      <c r="F6">
        <v>1</v>
      </c>
      <c r="G6">
        <v>1</v>
      </c>
      <c r="H6">
        <v>1</v>
      </c>
      <c r="I6">
        <v>1</v>
      </c>
      <c r="J6">
        <f t="shared" si="0"/>
        <v>4</v>
      </c>
    </row>
    <row r="7" spans="1:10">
      <c r="A7" t="s">
        <v>40</v>
      </c>
      <c r="B7" t="s">
        <v>38</v>
      </c>
      <c r="C7" t="s">
        <v>30</v>
      </c>
      <c r="D7" t="s">
        <v>42</v>
      </c>
      <c r="E7">
        <v>15</v>
      </c>
      <c r="F7">
        <v>15</v>
      </c>
      <c r="G7">
        <v>15</v>
      </c>
      <c r="H7">
        <v>15</v>
      </c>
      <c r="I7">
        <v>0</v>
      </c>
      <c r="J7">
        <f t="shared" si="0"/>
        <v>60</v>
      </c>
    </row>
    <row r="8" spans="1:10">
      <c r="A8" s="5" t="s">
        <v>35</v>
      </c>
      <c r="B8" s="7"/>
      <c r="C8" s="7"/>
      <c r="D8" s="7"/>
      <c r="E8" s="5">
        <f t="shared" ref="E8:J8" si="1">SUM(E2:E7)</f>
        <v>351</v>
      </c>
      <c r="F8" s="5">
        <f t="shared" si="1"/>
        <v>589</v>
      </c>
      <c r="G8" s="5">
        <f t="shared" si="1"/>
        <v>422</v>
      </c>
      <c r="H8" s="5">
        <f t="shared" si="1"/>
        <v>134</v>
      </c>
      <c r="I8" s="5">
        <f t="shared" si="1"/>
        <v>42</v>
      </c>
      <c r="J8" s="5">
        <f t="shared" si="1"/>
        <v>1538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2A1B9CC8A8684BAD5128D2EACD5A27" ma:contentTypeVersion="12" ma:contentTypeDescription="Create a new document." ma:contentTypeScope="" ma:versionID="9d543883459b41a774b205aa9dcb9fd9">
  <xsd:schema xmlns:xsd="http://www.w3.org/2001/XMLSchema" xmlns:xs="http://www.w3.org/2001/XMLSchema" xmlns:p="http://schemas.microsoft.com/office/2006/metadata/properties" xmlns:ns2="a1178fb9-72fa-4d03-8672-01e2e6dffe53" targetNamespace="http://schemas.microsoft.com/office/2006/metadata/properties" ma:root="true" ma:fieldsID="e2b0d89cd972906027cba1ceeaf59861" ns2:_="">
    <xsd:import namespace="a1178fb9-72fa-4d03-8672-01e2e6dffe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SystemTag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178fb9-72fa-4d03-8672-01e2e6dffe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35E6D5F-941C-4DB1-AE46-AEC570C062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178fb9-72fa-4d03-8672-01e2e6dffe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42160F-E581-43D3-B07F-1BC44FDF16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3CA941-9A1C-4127-B5DA-0147554E7D8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리포트1</vt:lpstr>
      <vt:lpstr>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Le, Pham Thi /THV/PPC</cp:lastModifiedBy>
  <dcterms:modified xsi:type="dcterms:W3CDTF">2026-06-24T16:52:59Z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0x0101003E2A1B9CC8A8684BAD5128D2EACD5A27</vt:lpwstr>
  </property>
</Properties>
</file>